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7380" tabRatio="948"/>
  </bookViews>
  <sheets>
    <sheet name="Operational Target" sheetId="30" r:id="rId1"/>
  </sheets>
  <definedNames>
    <definedName name="_xlnm._FilterDatabase" localSheetId="0" hidden="1">'Operational Target'!$A$1:$A$40</definedName>
    <definedName name="As" localSheetId="0">#REF!</definedName>
    <definedName name="As">#REF!</definedName>
    <definedName name="Assumptions3" localSheetId="0">#REF!</definedName>
    <definedName name="Assumptions3">#REF!</definedName>
    <definedName name="Beg_Bal" localSheetId="0">#REF!</definedName>
    <definedName name="Beg_Bal">#REF!</definedName>
    <definedName name="cfgncgjgkvbjlui" localSheetId="0">#REF!</definedName>
    <definedName name="cfgncgjgkvbjlui">#REF!</definedName>
    <definedName name="Cum_Int" localSheetId="0">#REF!</definedName>
    <definedName name="Cum_Int">#REF!</definedName>
    <definedName name="CurrentCol">1</definedName>
    <definedName name="d" localSheetId="0">#REF!</definedName>
    <definedName name="d">#REF!</definedName>
    <definedName name="Data" localSheetId="0">#REF!</definedName>
    <definedName name="Data">#REF!</definedName>
    <definedName name="dd" localSheetId="0">#REF!</definedName>
    <definedName name="dd">#REF!</definedName>
    <definedName name="Dep_21_fin" localSheetId="0">#REF!</definedName>
    <definedName name="Dep_21_fin">#REF!</definedName>
    <definedName name="End_Bal" localSheetId="0">#REF!</definedName>
    <definedName name="End_Bal">#REF!</definedName>
    <definedName name="Extra_Pay" localSheetId="0">#REF!</definedName>
    <definedName name="Extra_Pay">#REF!</definedName>
    <definedName name="Full_Print" localSheetId="0">#REF!</definedName>
    <definedName name="Full_Print">#REF!</definedName>
    <definedName name="gfdg" localSheetId="0">#REF!</definedName>
    <definedName name="gfdg">#REF!</definedName>
    <definedName name="Header_Row" localSheetId="0">ROW(#REF!)</definedName>
    <definedName name="Header_Row">ROW(#REF!)</definedName>
    <definedName name="Int" localSheetId="0">#REF!</definedName>
    <definedName name="Int">#REF!</definedName>
    <definedName name="Interest_Rate" localSheetId="0">#REF!</definedName>
    <definedName name="Interest_Rate">#REF!</definedName>
    <definedName name="Jish" localSheetId="0">#REF!</definedName>
    <definedName name="Jish">#REF!</definedName>
    <definedName name="jj" localSheetId="0">#REF!</definedName>
    <definedName name="jj">#REF!</definedName>
    <definedName name="kk" localSheetId="0">#REF!</definedName>
    <definedName name="kk">#REF!</definedName>
    <definedName name="Last_Row" localSheetId="0">IF('Operational Target'!Values_Entered,'Operational Target'!Header_Row+'Operational Target'!Number_of_Payments,'Operational Target'!Header_Row)</definedName>
    <definedName name="Last_Row">IF(Values_Entered,Header_Row+Number_of_Payments,Header_Row)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Num_Pmt_Per_Year" localSheetId="0">#REF!</definedName>
    <definedName name="Num_Pmt_Per_Year">#REF!</definedName>
    <definedName name="Number_of_Payments" localSheetId="0">MATCH(0.01,'Operational Target'!End_Bal,-1)+1</definedName>
    <definedName name="Number_of_Payments">MATCH(0.01,End_Bal,-1)+1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 localSheetId="0">DATE(YEAR('Operational Target'!Loan_Start),MONTH('Operational Target'!Loan_Start)+Payment_Number,DAY('Operational Target'!Loan_Start))</definedName>
    <definedName name="Payment_Date">DATE(YEAR(Loan_Start),MONTH(Loan_Start)+Payment_Number,DAY(Loan_Start))</definedName>
    <definedName name="Plan_Feb" localSheetId="0">#REF!</definedName>
    <definedName name="Plan_Feb">#REF!</definedName>
    <definedName name="Princ" localSheetId="0">#REF!</definedName>
    <definedName name="Princ">#REF!</definedName>
    <definedName name="_xlnm.Print_Area" localSheetId="0">'Operational Target'!$A$1:$U$40</definedName>
    <definedName name="Print_Area_Reset" localSheetId="0">OFFSET('Operational Target'!Full_Print,0,0,'Operational Target'!Last_Row)</definedName>
    <definedName name="Print_Area_Reset">OFFSET(Full_Print,0,0,Last_Row)</definedName>
    <definedName name="Prog_28" localSheetId="0">#REF!</definedName>
    <definedName name="Prog_28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Total_Interest" localSheetId="0">#REF!</definedName>
    <definedName name="Total_Interest">#REF!</definedName>
    <definedName name="Total_Pay" localSheetId="0">#REF!</definedName>
    <definedName name="Total_Pay">#REF!</definedName>
    <definedName name="Values_Entered" localSheetId="0">IF('Operational Target'!Loan_Amount*'Operational Target'!Interest_Rate*'Operational Target'!Loan_Years*'Operational Target'!Loan_Start&gt;0,1,0)</definedName>
    <definedName name="Values_Entered">IF(Loan_Amount*Interest_Rate*Loan_Years*Loan_Start&gt;0,1,0)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30" l="1"/>
  <c r="I39" i="30" l="1"/>
  <c r="I38" i="30"/>
  <c r="H39" i="30"/>
  <c r="H38" i="30"/>
  <c r="I36" i="30"/>
  <c r="I34" i="30"/>
  <c r="I24" i="30"/>
  <c r="H36" i="30"/>
  <c r="G36" i="30"/>
  <c r="F36" i="30"/>
  <c r="H34" i="30"/>
  <c r="J34" i="30" s="1"/>
  <c r="U32" i="30"/>
  <c r="U31" i="30"/>
  <c r="U30" i="30"/>
  <c r="U29" i="30"/>
  <c r="U28" i="30"/>
  <c r="U27" i="30"/>
  <c r="U26" i="30"/>
  <c r="U24" i="30"/>
  <c r="T32" i="30"/>
  <c r="T31" i="30"/>
  <c r="T30" i="30"/>
  <c r="T29" i="30"/>
  <c r="T28" i="30"/>
  <c r="T27" i="30"/>
  <c r="T26" i="30"/>
  <c r="T24" i="30"/>
  <c r="S32" i="30"/>
  <c r="S31" i="30"/>
  <c r="S30" i="30"/>
  <c r="S29" i="30"/>
  <c r="S28" i="30"/>
  <c r="S27" i="30"/>
  <c r="S26" i="30"/>
  <c r="S24" i="30"/>
  <c r="R32" i="30"/>
  <c r="R31" i="30"/>
  <c r="R30" i="30"/>
  <c r="R29" i="30"/>
  <c r="R28" i="30"/>
  <c r="R27" i="30"/>
  <c r="R26" i="30"/>
  <c r="R24" i="30"/>
  <c r="Q32" i="30"/>
  <c r="Q30" i="30"/>
  <c r="Q31" i="30"/>
  <c r="Q29" i="30"/>
  <c r="Q28" i="30"/>
  <c r="Q27" i="30"/>
  <c r="Q26" i="30"/>
  <c r="Q24" i="30"/>
  <c r="P32" i="30"/>
  <c r="P31" i="30"/>
  <c r="P30" i="30"/>
  <c r="P29" i="30"/>
  <c r="P28" i="30"/>
  <c r="P27" i="30"/>
  <c r="P26" i="30"/>
  <c r="P24" i="30"/>
  <c r="O32" i="30"/>
  <c r="O31" i="30"/>
  <c r="O30" i="30"/>
  <c r="O29" i="30"/>
  <c r="O28" i="30"/>
  <c r="O27" i="30"/>
  <c r="O26" i="30"/>
  <c r="O24" i="30"/>
  <c r="N32" i="30"/>
  <c r="N31" i="30"/>
  <c r="N30" i="30"/>
  <c r="N29" i="30"/>
  <c r="N28" i="30"/>
  <c r="N27" i="30"/>
  <c r="N26" i="30"/>
  <c r="N24" i="30"/>
  <c r="M32" i="30"/>
  <c r="M31" i="30"/>
  <c r="M30" i="30"/>
  <c r="M29" i="30"/>
  <c r="M28" i="30"/>
  <c r="M27" i="30"/>
  <c r="M26" i="30"/>
  <c r="M24" i="30"/>
  <c r="M23" i="30"/>
  <c r="L32" i="30"/>
  <c r="L31" i="30"/>
  <c r="L30" i="30"/>
  <c r="L29" i="30"/>
  <c r="L28" i="30"/>
  <c r="L27" i="30"/>
  <c r="L26" i="30"/>
  <c r="L24" i="30"/>
  <c r="L23" i="30"/>
  <c r="K32" i="30"/>
  <c r="K31" i="30"/>
  <c r="K30" i="30"/>
  <c r="K29" i="30"/>
  <c r="K28" i="30"/>
  <c r="K27" i="30"/>
  <c r="K26" i="30"/>
  <c r="K24" i="30"/>
  <c r="K23" i="30"/>
  <c r="J24" i="30"/>
  <c r="U23" i="30"/>
  <c r="T23" i="30"/>
  <c r="S23" i="30"/>
  <c r="R23" i="30"/>
  <c r="Q23" i="30"/>
  <c r="P23" i="30"/>
  <c r="O23" i="30"/>
  <c r="N23" i="30"/>
  <c r="J32" i="30"/>
  <c r="J31" i="30"/>
  <c r="J30" i="30"/>
  <c r="J29" i="30"/>
  <c r="J28" i="30"/>
  <c r="J27" i="30"/>
  <c r="J26" i="30"/>
  <c r="J23" i="30"/>
  <c r="H22" i="30"/>
  <c r="I23" i="30"/>
  <c r="H24" i="30"/>
  <c r="H25" i="30"/>
  <c r="S25" i="30" s="1"/>
  <c r="S22" i="30" s="1"/>
  <c r="H26" i="30"/>
  <c r="H27" i="30"/>
  <c r="H28" i="30"/>
  <c r="H29" i="30"/>
  <c r="H30" i="30"/>
  <c r="H31" i="30"/>
  <c r="H32" i="30"/>
  <c r="H23" i="30"/>
  <c r="G22" i="30"/>
  <c r="I22" i="30" s="1"/>
  <c r="F22" i="30"/>
  <c r="T25" i="30" l="1"/>
  <c r="T22" i="30" s="1"/>
  <c r="M25" i="30"/>
  <c r="M22" i="30" s="1"/>
  <c r="U25" i="30"/>
  <c r="U22" i="30" s="1"/>
  <c r="J25" i="30"/>
  <c r="J22" i="30" s="1"/>
  <c r="N25" i="30"/>
  <c r="N22" i="30" s="1"/>
  <c r="O25" i="30"/>
  <c r="O22" i="30" s="1"/>
  <c r="P25" i="30"/>
  <c r="P22" i="30" s="1"/>
  <c r="K25" i="30"/>
  <c r="K22" i="30" s="1"/>
  <c r="Q25" i="30"/>
  <c r="Q22" i="30" s="1"/>
  <c r="R25" i="30"/>
  <c r="R22" i="30" s="1"/>
  <c r="L25" i="30"/>
  <c r="L22" i="30" s="1"/>
  <c r="F8" i="30"/>
  <c r="H8" i="30" s="1"/>
  <c r="K21" i="30"/>
  <c r="L21" i="30"/>
  <c r="M21" i="30"/>
  <c r="N21" i="30"/>
  <c r="O21" i="30"/>
  <c r="P21" i="30"/>
  <c r="Q21" i="30"/>
  <c r="R21" i="30"/>
  <c r="S21" i="30"/>
  <c r="T21" i="30"/>
  <c r="U21" i="30"/>
  <c r="J20" i="30"/>
  <c r="J19" i="30"/>
  <c r="H19" i="30"/>
  <c r="H20" i="30"/>
  <c r="J18" i="30"/>
  <c r="H10" i="30"/>
  <c r="Q10" i="30" s="1"/>
  <c r="H11" i="30"/>
  <c r="L11" i="30" s="1"/>
  <c r="H12" i="30"/>
  <c r="Q12" i="30" s="1"/>
  <c r="H13" i="30"/>
  <c r="H14" i="30"/>
  <c r="R14" i="30" s="1"/>
  <c r="H15" i="30"/>
  <c r="U15" i="30" s="1"/>
  <c r="H16" i="30"/>
  <c r="P16" i="30" s="1"/>
  <c r="H17" i="30"/>
  <c r="H18" i="30"/>
  <c r="Q18" i="30" s="1"/>
  <c r="H9" i="30"/>
  <c r="J9" i="30" s="1"/>
  <c r="I18" i="30"/>
  <c r="I11" i="30"/>
  <c r="I14" i="30"/>
  <c r="U18" i="30"/>
  <c r="U17" i="30"/>
  <c r="U14" i="30"/>
  <c r="U13" i="30"/>
  <c r="U10" i="30"/>
  <c r="T18" i="30"/>
  <c r="T17" i="30"/>
  <c r="T16" i="30"/>
  <c r="T14" i="30"/>
  <c r="T13" i="30"/>
  <c r="T12" i="30"/>
  <c r="T10" i="30"/>
  <c r="S18" i="30"/>
  <c r="S17" i="30"/>
  <c r="S16" i="30"/>
  <c r="S14" i="30"/>
  <c r="S13" i="30"/>
  <c r="S12" i="30"/>
  <c r="S10" i="30"/>
  <c r="R17" i="30"/>
  <c r="R15" i="30"/>
  <c r="R13" i="30"/>
  <c r="R11" i="30"/>
  <c r="R10" i="30"/>
  <c r="Q17" i="30"/>
  <c r="Q15" i="30"/>
  <c r="Q13" i="30"/>
  <c r="Q11" i="30"/>
  <c r="P10" i="30"/>
  <c r="P18" i="30"/>
  <c r="P17" i="30"/>
  <c r="P15" i="30"/>
  <c r="P14" i="30"/>
  <c r="P13" i="30"/>
  <c r="O18" i="30"/>
  <c r="O17" i="30"/>
  <c r="O16" i="30"/>
  <c r="O14" i="30"/>
  <c r="O13" i="30"/>
  <c r="O12" i="30"/>
  <c r="O10" i="30"/>
  <c r="N18" i="30"/>
  <c r="N17" i="30"/>
  <c r="N15" i="30"/>
  <c r="N14" i="30"/>
  <c r="N13" i="30"/>
  <c r="N11" i="30"/>
  <c r="N10" i="30"/>
  <c r="M18" i="30"/>
  <c r="M17" i="30"/>
  <c r="M15" i="30"/>
  <c r="M14" i="30"/>
  <c r="M13" i="30"/>
  <c r="M11" i="30"/>
  <c r="M10" i="30"/>
  <c r="L18" i="30"/>
  <c r="L17" i="30"/>
  <c r="L14" i="30"/>
  <c r="L13" i="30"/>
  <c r="L10" i="30"/>
  <c r="K18" i="30"/>
  <c r="K17" i="30"/>
  <c r="K16" i="30"/>
  <c r="K14" i="30"/>
  <c r="K13" i="30"/>
  <c r="K12" i="30"/>
  <c r="K10" i="30"/>
  <c r="J17" i="30"/>
  <c r="J15" i="30"/>
  <c r="J14" i="30"/>
  <c r="J13" i="30"/>
  <c r="J11" i="30"/>
  <c r="J10" i="30"/>
  <c r="I32" i="30"/>
  <c r="I31" i="30"/>
  <c r="I30" i="30"/>
  <c r="I29" i="30"/>
  <c r="I28" i="30"/>
  <c r="I27" i="30"/>
  <c r="I26" i="30"/>
  <c r="I25" i="30"/>
  <c r="F33" i="30"/>
  <c r="G33" i="30"/>
  <c r="J33" i="30"/>
  <c r="K34" i="30"/>
  <c r="K33" i="30" s="1"/>
  <c r="L34" i="30"/>
  <c r="L33" i="30" s="1"/>
  <c r="M34" i="30"/>
  <c r="M33" i="30" s="1"/>
  <c r="N34" i="30"/>
  <c r="N33" i="30" s="1"/>
  <c r="O34" i="30"/>
  <c r="O33" i="30" s="1"/>
  <c r="P34" i="30"/>
  <c r="P33" i="30" s="1"/>
  <c r="Q34" i="30"/>
  <c r="Q33" i="30" s="1"/>
  <c r="R34" i="30"/>
  <c r="R33" i="30" s="1"/>
  <c r="S34" i="30"/>
  <c r="S33" i="30" s="1"/>
  <c r="T34" i="30"/>
  <c r="T33" i="30" s="1"/>
  <c r="U34" i="30"/>
  <c r="U33" i="30" s="1"/>
  <c r="N36" i="30"/>
  <c r="N35" i="30" s="1"/>
  <c r="I10" i="30"/>
  <c r="I12" i="30"/>
  <c r="I13" i="30"/>
  <c r="I15" i="30"/>
  <c r="I16" i="30"/>
  <c r="I17" i="30"/>
  <c r="J16" i="30" l="1"/>
  <c r="K15" i="30"/>
  <c r="L12" i="30"/>
  <c r="O11" i="30"/>
  <c r="Q14" i="30"/>
  <c r="R18" i="30"/>
  <c r="S15" i="30"/>
  <c r="T11" i="30"/>
  <c r="U16" i="30"/>
  <c r="R12" i="30"/>
  <c r="L15" i="30"/>
  <c r="P11" i="30"/>
  <c r="U11" i="30"/>
  <c r="J12" i="30"/>
  <c r="N16" i="30"/>
  <c r="Q16" i="30"/>
  <c r="M12" i="30"/>
  <c r="K11" i="30"/>
  <c r="L16" i="30"/>
  <c r="O15" i="30"/>
  <c r="P12" i="30"/>
  <c r="S11" i="30"/>
  <c r="T15" i="30"/>
  <c r="U12" i="30"/>
  <c r="N12" i="30"/>
  <c r="R16" i="30"/>
  <c r="M16" i="30"/>
  <c r="K9" i="30"/>
  <c r="H33" i="30"/>
  <c r="U36" i="30"/>
  <c r="U35" i="30" s="1"/>
  <c r="M36" i="30"/>
  <c r="M35" i="30" s="1"/>
  <c r="P36" i="30"/>
  <c r="P35" i="30" s="1"/>
  <c r="T36" i="30"/>
  <c r="T35" i="30" s="1"/>
  <c r="L36" i="30"/>
  <c r="L35" i="30" s="1"/>
  <c r="S36" i="30"/>
  <c r="S35" i="30" s="1"/>
  <c r="K36" i="30"/>
  <c r="K35" i="30" s="1"/>
  <c r="R36" i="30"/>
  <c r="R35" i="30" s="1"/>
  <c r="J36" i="30"/>
  <c r="J35" i="30" s="1"/>
  <c r="Q36" i="30"/>
  <c r="Q35" i="30" s="1"/>
  <c r="O36" i="30"/>
  <c r="O35" i="30" s="1"/>
  <c r="S39" i="30" l="1"/>
  <c r="T38" i="30"/>
  <c r="T37" i="30" s="1"/>
  <c r="M38" i="30" l="1"/>
  <c r="M37" i="30" s="1"/>
  <c r="Q38" i="30"/>
  <c r="Q37" i="30" s="1"/>
  <c r="U38" i="30"/>
  <c r="U37" i="30" s="1"/>
  <c r="J38" i="30"/>
  <c r="N38" i="30"/>
  <c r="N37" i="30" s="1"/>
  <c r="R38" i="30"/>
  <c r="R37" i="30" s="1"/>
  <c r="J39" i="30"/>
  <c r="N39" i="30"/>
  <c r="P39" i="30"/>
  <c r="T39" i="30"/>
  <c r="K38" i="30"/>
  <c r="O38" i="30"/>
  <c r="O37" i="30" s="1"/>
  <c r="S38" i="30"/>
  <c r="S37" i="30" s="1"/>
  <c r="K39" i="30"/>
  <c r="O39" i="30"/>
  <c r="Q39" i="30"/>
  <c r="U39" i="30"/>
  <c r="L38" i="30"/>
  <c r="L37" i="30" s="1"/>
  <c r="P38" i="30"/>
  <c r="P37" i="30" s="1"/>
  <c r="L39" i="30"/>
  <c r="R39" i="30"/>
  <c r="M39" i="30"/>
  <c r="I9" i="30"/>
  <c r="K37" i="30" l="1"/>
  <c r="J37" i="30"/>
  <c r="S9" i="30" l="1"/>
  <c r="O9" i="30"/>
  <c r="N9" i="30"/>
  <c r="R9" i="30"/>
  <c r="U9" i="30"/>
  <c r="Q9" i="30"/>
  <c r="M9" i="30"/>
  <c r="T9" i="30"/>
  <c r="P9" i="30"/>
  <c r="L9" i="30"/>
  <c r="E8" i="30" l="1"/>
  <c r="D8" i="30" l="1"/>
  <c r="S19" i="30" l="1"/>
  <c r="R19" i="30"/>
  <c r="U19" i="30"/>
  <c r="N19" i="30"/>
  <c r="P19" i="30"/>
  <c r="Q19" i="30"/>
  <c r="I19" i="30"/>
  <c r="O19" i="30"/>
  <c r="T19" i="30"/>
  <c r="K19" i="30"/>
  <c r="L19" i="30"/>
  <c r="M19" i="30"/>
  <c r="P20" i="30"/>
  <c r="J21" i="30"/>
  <c r="I20" i="30"/>
  <c r="Q20" i="30"/>
  <c r="L20" i="30"/>
  <c r="S20" i="30"/>
  <c r="M20" i="30"/>
  <c r="O20" i="30"/>
  <c r="N20" i="30"/>
  <c r="K20" i="30"/>
  <c r="R20" i="30"/>
  <c r="U20" i="30"/>
  <c r="T20" i="30"/>
</calcChain>
</file>

<file path=xl/sharedStrings.xml><?xml version="1.0" encoding="utf-8"?>
<sst xmlns="http://schemas.openxmlformats.org/spreadsheetml/2006/main" count="63" uniqueCount="63">
  <si>
    <t>No.</t>
  </si>
  <si>
    <t xml:space="preserve">Descriptions </t>
  </si>
  <si>
    <t>Previous two Years  Outstanding Actual Performance</t>
  </si>
  <si>
    <t xml:space="preserve">This Years  Outstanding  Performance </t>
  </si>
  <si>
    <t>Annual Incremental  Target for the next Year  (B)</t>
  </si>
  <si>
    <t>outstanding position at the end of  next Year ( A+B)</t>
  </si>
  <si>
    <t>Quarter I</t>
  </si>
  <si>
    <t>Quarter II</t>
  </si>
  <si>
    <t>Quarter III</t>
  </si>
  <si>
    <t>Quarter IV</t>
  </si>
  <si>
    <t xml:space="preserve">July </t>
  </si>
  <si>
    <t>Aug</t>
  </si>
  <si>
    <t>September</t>
  </si>
  <si>
    <t xml:space="preserve">October </t>
  </si>
  <si>
    <t xml:space="preserve">November </t>
  </si>
  <si>
    <t>December</t>
  </si>
  <si>
    <t>January</t>
  </si>
  <si>
    <t>February</t>
  </si>
  <si>
    <t>March</t>
  </si>
  <si>
    <t>April</t>
  </si>
  <si>
    <t>May</t>
  </si>
  <si>
    <t xml:space="preserve">June </t>
  </si>
  <si>
    <t xml:space="preserve">Wadiah Saving </t>
  </si>
  <si>
    <t xml:space="preserve">Conventional loans &amp; advances </t>
  </si>
  <si>
    <t xml:space="preserve">IFB Financing </t>
  </si>
  <si>
    <t xml:space="preserve"> Non Performing Loan (NPL)  ratio (%)</t>
  </si>
  <si>
    <t>In Thousand Birr</t>
  </si>
  <si>
    <t>% growth                    ( B/A</t>
  </si>
  <si>
    <t>Table 1</t>
  </si>
  <si>
    <t xml:space="preserve">Monthly  Incremental  Target Break down (  year to date/cumulative) </t>
  </si>
  <si>
    <t>Retail Saving Deposit</t>
  </si>
  <si>
    <t>Aggregate Loans &amp; Advances</t>
  </si>
  <si>
    <t>Loan Saving Deposit</t>
  </si>
  <si>
    <t>Fixed Time Deposit</t>
  </si>
  <si>
    <t xml:space="preserve">Aggregate Member Deposit </t>
  </si>
  <si>
    <t>Michu Current Saving Deposit</t>
  </si>
  <si>
    <t>Gihon Regular  Saving Deposit</t>
  </si>
  <si>
    <t>Children Saving Deposit</t>
  </si>
  <si>
    <t>Elders Saving Deposit</t>
  </si>
  <si>
    <t>Customer Base (In Number)</t>
  </si>
  <si>
    <t>IFB Customer Base</t>
  </si>
  <si>
    <t>Retail Deposit Without Time Deposit</t>
  </si>
  <si>
    <t xml:space="preserve">  Actual Performance As at March 31, 2025</t>
  </si>
  <si>
    <r>
      <t>Branch Name:  _</t>
    </r>
    <r>
      <rPr>
        <b/>
        <u/>
        <sz val="20"/>
        <color rgb="FF002060"/>
        <rFont val="Book Antiqua"/>
        <family val="1"/>
      </rPr>
      <t>Wolayita Sodo</t>
    </r>
  </si>
  <si>
    <t>Mothers Saving Deposit</t>
  </si>
  <si>
    <t>Young Womens Saving Deposit</t>
  </si>
  <si>
    <t>Segment Deposit</t>
  </si>
  <si>
    <t>Special Saving</t>
  </si>
  <si>
    <t>Premium saving deposit</t>
  </si>
  <si>
    <t xml:space="preserve">Total  Deposit </t>
  </si>
  <si>
    <t>Premium saving Account</t>
  </si>
  <si>
    <t>Michu Current Saving Account</t>
  </si>
  <si>
    <t>Gihon Regular  Saving Account</t>
  </si>
  <si>
    <t>Mothers Saving Account</t>
  </si>
  <si>
    <t>Elders Saving Account</t>
  </si>
  <si>
    <t>Young Womens Saving Account</t>
  </si>
  <si>
    <t>Segment Account</t>
  </si>
  <si>
    <t>Wadiah IFB Deposit</t>
  </si>
  <si>
    <t>School</t>
  </si>
  <si>
    <t>Children Saving Account</t>
  </si>
  <si>
    <t>Fixed Time Account</t>
  </si>
  <si>
    <t xml:space="preserve"> Major Operational   Performance Targets Summary  for Financial  Year 2026/27</t>
  </si>
  <si>
    <t>June 2026 Estimation 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</si>
</sst>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3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sz val="10"/>
      <name val="Times New Roman"/>
      <family val="1"/>
    </font>
    <font>
      <sz val="10"/>
      <name val="MS Sans Serif"/>
      <family val="2"/>
    </font>
    <font>
      <b/>
      <sz val="20"/>
      <color rgb="FF002060"/>
      <name val="Book Antiqua"/>
      <family val="1"/>
    </font>
    <font>
      <sz val="20"/>
      <color rgb="FF002060"/>
      <name val="Book Antiqua"/>
      <family val="1"/>
    </font>
    <font>
      <b/>
      <sz val="20"/>
      <color theme="0"/>
      <name val="Book Antiqua"/>
      <family val="1"/>
    </font>
    <font>
      <b/>
      <sz val="20"/>
      <color theme="0"/>
      <name val="Times New Roman"/>
      <family val="1"/>
    </font>
    <font>
      <b/>
      <sz val="20"/>
      <color rgb="FF002060"/>
      <name val="Times New Roman"/>
      <family val="1"/>
    </font>
    <font>
      <sz val="20"/>
      <color theme="1"/>
      <name val="Cambria"/>
      <family val="1"/>
    </font>
    <font>
      <i/>
      <sz val="20"/>
      <name val="Times New Roman"/>
      <family val="1"/>
    </font>
    <font>
      <b/>
      <u/>
      <sz val="20"/>
      <color rgb="FF002060"/>
      <name val="Book Antiqua"/>
      <family val="1"/>
    </font>
    <font>
      <sz val="28"/>
      <color rgb="FF00206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rgb="FFFFC000"/>
      </left>
      <right style="medium">
        <color theme="0"/>
      </right>
      <top style="thick">
        <color rgb="FFFFC00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ck">
        <color rgb="FFFFC000"/>
      </top>
      <bottom style="medium">
        <color theme="0"/>
      </bottom>
      <diagonal/>
    </border>
    <border>
      <left style="medium">
        <color theme="0"/>
      </left>
      <right style="thick">
        <color rgb="FFFFC000"/>
      </right>
      <top style="thick">
        <color rgb="FFFFC000"/>
      </top>
      <bottom style="medium">
        <color theme="0"/>
      </bottom>
      <diagonal/>
    </border>
    <border>
      <left style="thick">
        <color rgb="FFFFC00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ck">
        <color rgb="FFFFC000"/>
      </right>
      <top style="medium">
        <color theme="0"/>
      </top>
      <bottom style="medium">
        <color theme="0"/>
      </bottom>
      <diagonal/>
    </border>
    <border>
      <left style="thick">
        <color rgb="FFFFC000"/>
      </left>
      <right style="medium">
        <color theme="0"/>
      </right>
      <top style="medium">
        <color theme="0"/>
      </top>
      <bottom style="thick">
        <color rgb="FFFFC00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ck">
        <color rgb="FFFFC000"/>
      </bottom>
      <diagonal/>
    </border>
    <border>
      <left style="medium">
        <color theme="0"/>
      </left>
      <right style="thick">
        <color rgb="FFFFC000"/>
      </right>
      <top style="medium">
        <color theme="0"/>
      </top>
      <bottom style="thick">
        <color rgb="FFFFC00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/>
      <right/>
      <top/>
      <bottom style="thick">
        <color rgb="FF002060"/>
      </bottom>
      <diagonal/>
    </border>
    <border>
      <left style="thick">
        <color rgb="FF002060"/>
      </left>
      <right style="thin">
        <color indexed="64"/>
      </right>
      <top/>
      <bottom style="thick">
        <color rgb="FF002060"/>
      </bottom>
      <diagonal/>
    </border>
    <border>
      <left style="thin">
        <color indexed="64"/>
      </left>
      <right style="thin">
        <color indexed="64"/>
      </right>
      <top/>
      <bottom style="thick">
        <color rgb="FF002060"/>
      </bottom>
      <diagonal/>
    </border>
    <border>
      <left style="thin">
        <color indexed="64"/>
      </left>
      <right style="thick">
        <color rgb="FF002060"/>
      </right>
      <top/>
      <bottom style="thick">
        <color rgb="FF002060"/>
      </bottom>
      <diagonal/>
    </border>
    <border>
      <left/>
      <right style="thin">
        <color indexed="64"/>
      </right>
      <top/>
      <bottom style="thick">
        <color rgb="FF00206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206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00206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00206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2060"/>
      </right>
      <top style="thin">
        <color indexed="64"/>
      </top>
      <bottom style="thin">
        <color indexed="64"/>
      </bottom>
      <diagonal/>
    </border>
    <border>
      <left style="thick">
        <color rgb="FF00206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002060"/>
      </right>
      <top style="thin">
        <color indexed="64"/>
      </top>
      <bottom/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 style="thick">
        <color rgb="FF002060"/>
      </left>
      <right style="thin">
        <color indexed="64"/>
      </right>
      <top style="thick">
        <color rgb="FF002060"/>
      </top>
      <bottom style="thick">
        <color rgb="FF002060"/>
      </bottom>
      <diagonal/>
    </border>
    <border>
      <left style="thin">
        <color indexed="64"/>
      </left>
      <right style="thin">
        <color indexed="64"/>
      </right>
      <top style="thick">
        <color rgb="FF002060"/>
      </top>
      <bottom style="thick">
        <color rgb="FF002060"/>
      </bottom>
      <diagonal/>
    </border>
    <border>
      <left style="thin">
        <color indexed="64"/>
      </left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/>
      <right style="thin">
        <color indexed="64"/>
      </right>
      <top style="thick">
        <color rgb="FF002060"/>
      </top>
      <bottom style="thick">
        <color rgb="FF002060"/>
      </bottom>
      <diagonal/>
    </border>
    <border>
      <left style="thin">
        <color indexed="64"/>
      </left>
      <right style="thin">
        <color indexed="64"/>
      </right>
      <top style="thick">
        <color rgb="FF00206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ck">
        <color rgb="FF002060"/>
      </right>
      <top/>
      <bottom/>
      <diagonal/>
    </border>
    <border>
      <left/>
      <right/>
      <top style="thick">
        <color rgb="FF002060"/>
      </top>
      <bottom/>
      <diagonal/>
    </border>
    <border>
      <left style="thin">
        <color indexed="64"/>
      </left>
      <right style="thin">
        <color indexed="64"/>
      </right>
      <top style="thick">
        <color rgb="FFFFC000"/>
      </top>
      <bottom style="thick">
        <color rgb="FF00206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</cellStyleXfs>
  <cellXfs count="124">
    <xf numFmtId="0" fontId="0" fillId="0" borderId="0" xfId="0"/>
    <xf numFmtId="0" fontId="4" fillId="4" borderId="0" xfId="0" applyFont="1" applyFill="1" applyBorder="1" applyAlignment="1">
      <alignment horizontal="center" vertical="center"/>
    </xf>
    <xf numFmtId="9" fontId="4" fillId="4" borderId="0" xfId="2" applyFont="1" applyFill="1" applyBorder="1" applyAlignment="1">
      <alignment horizontal="center" vertical="center"/>
    </xf>
    <xf numFmtId="0" fontId="5" fillId="4" borderId="0" xfId="0" applyFont="1" applyFill="1" applyBorder="1" applyAlignment="1">
      <alignment vertical="center"/>
    </xf>
    <xf numFmtId="9" fontId="5" fillId="4" borderId="0" xfId="2" applyFont="1" applyFill="1" applyBorder="1" applyAlignment="1">
      <alignment vertical="center"/>
    </xf>
    <xf numFmtId="0" fontId="6" fillId="2" borderId="0" xfId="0" applyFont="1" applyFill="1" applyBorder="1" applyAlignment="1">
      <alignment horizontal="center" vertical="center"/>
    </xf>
    <xf numFmtId="9" fontId="6" fillId="2" borderId="0" xfId="2" applyFont="1" applyFill="1" applyBorder="1" applyAlignment="1">
      <alignment horizontal="center" vertical="center"/>
    </xf>
    <xf numFmtId="0" fontId="4" fillId="5" borderId="0" xfId="0" applyFont="1" applyFill="1" applyBorder="1" applyAlignment="1">
      <alignment vertical="center"/>
    </xf>
    <xf numFmtId="9" fontId="4" fillId="5" borderId="0" xfId="2" applyFont="1" applyFill="1" applyBorder="1" applyAlignment="1">
      <alignment vertical="center"/>
    </xf>
    <xf numFmtId="164" fontId="4" fillId="0" borderId="26" xfId="1" applyNumberFormat="1" applyFont="1" applyFill="1" applyBorder="1" applyAlignment="1">
      <alignment horizontal="left" vertical="center"/>
    </xf>
    <xf numFmtId="164" fontId="4" fillId="0" borderId="4" xfId="1" applyNumberFormat="1" applyFont="1" applyFill="1" applyBorder="1" applyAlignment="1">
      <alignment horizontal="left" vertical="center"/>
    </xf>
    <xf numFmtId="164" fontId="4" fillId="0" borderId="27" xfId="1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164" fontId="5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9" fontId="5" fillId="0" borderId="0" xfId="2" applyFont="1" applyFill="1" applyBorder="1" applyAlignment="1">
      <alignment vertical="center"/>
    </xf>
    <xf numFmtId="164" fontId="5" fillId="0" borderId="28" xfId="1" applyNumberFormat="1" applyFont="1" applyFill="1" applyBorder="1" applyAlignment="1">
      <alignment horizontal="left" vertical="center" wrapText="1"/>
    </xf>
    <xf numFmtId="164" fontId="5" fillId="0" borderId="26" xfId="1" applyNumberFormat="1" applyFont="1" applyFill="1" applyBorder="1" applyAlignment="1">
      <alignment horizontal="left" vertical="center"/>
    </xf>
    <xf numFmtId="164" fontId="5" fillId="0" borderId="4" xfId="1" applyNumberFormat="1" applyFont="1" applyFill="1" applyBorder="1" applyAlignment="1">
      <alignment horizontal="left" vertical="center"/>
    </xf>
    <xf numFmtId="164" fontId="5" fillId="0" borderId="27" xfId="1" applyNumberFormat="1" applyFont="1" applyFill="1" applyBorder="1" applyAlignment="1">
      <alignment horizontal="left" vertical="center"/>
    </xf>
    <xf numFmtId="164" fontId="5" fillId="0" borderId="1" xfId="1" applyNumberFormat="1" applyFont="1" applyFill="1" applyBorder="1" applyAlignment="1">
      <alignment horizontal="left" vertical="center"/>
    </xf>
    <xf numFmtId="164" fontId="5" fillId="0" borderId="25" xfId="3" applyNumberFormat="1" applyFont="1" applyFill="1" applyBorder="1" applyAlignment="1">
      <alignment horizontal="left" vertical="center" wrapText="1"/>
    </xf>
    <xf numFmtId="164" fontId="5" fillId="0" borderId="26" xfId="3" applyNumberFormat="1" applyFont="1" applyFill="1" applyBorder="1" applyAlignment="1">
      <alignment horizontal="left" vertical="center"/>
    </xf>
    <xf numFmtId="164" fontId="5" fillId="0" borderId="4" xfId="3" applyNumberFormat="1" applyFont="1" applyFill="1" applyBorder="1" applyAlignment="1">
      <alignment horizontal="left" vertical="center"/>
    </xf>
    <xf numFmtId="164" fontId="5" fillId="0" borderId="27" xfId="3" applyNumberFormat="1" applyFont="1" applyFill="1" applyBorder="1" applyAlignment="1">
      <alignment horizontal="left" vertical="center"/>
    </xf>
    <xf numFmtId="164" fontId="5" fillId="0" borderId="5" xfId="3" applyNumberFormat="1" applyFont="1" applyFill="1" applyBorder="1" applyAlignment="1">
      <alignment horizontal="left" vertical="center" wrapText="1"/>
    </xf>
    <xf numFmtId="164" fontId="5" fillId="0" borderId="31" xfId="3" applyNumberFormat="1" applyFont="1" applyFill="1" applyBorder="1" applyAlignment="1">
      <alignment horizontal="left" vertical="center"/>
    </xf>
    <xf numFmtId="164" fontId="5" fillId="0" borderId="3" xfId="3" applyNumberFormat="1" applyFont="1" applyFill="1" applyBorder="1" applyAlignment="1">
      <alignment horizontal="left" vertical="center"/>
    </xf>
    <xf numFmtId="164" fontId="5" fillId="0" borderId="32" xfId="3" applyNumberFormat="1" applyFont="1" applyFill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0" borderId="0" xfId="1" applyNumberFormat="1" applyFont="1" applyBorder="1" applyAlignment="1">
      <alignment vertical="center"/>
    </xf>
    <xf numFmtId="164" fontId="5" fillId="0" borderId="0" xfId="1" applyNumberFormat="1" applyFont="1" applyFill="1" applyBorder="1" applyAlignment="1">
      <alignment vertical="center"/>
    </xf>
    <xf numFmtId="9" fontId="5" fillId="0" borderId="0" xfId="2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9" xfId="1" applyNumberFormat="1" applyFont="1" applyFill="1" applyBorder="1" applyAlignment="1">
      <alignment horizontal="center" vertical="center"/>
    </xf>
    <xf numFmtId="164" fontId="8" fillId="0" borderId="4" xfId="1" applyNumberFormat="1" applyFont="1" applyFill="1" applyBorder="1" applyAlignment="1">
      <alignment horizontal="left" vertical="center"/>
    </xf>
    <xf numFmtId="3" fontId="10" fillId="3" borderId="4" xfId="3" applyNumberFormat="1" applyFont="1" applyFill="1" applyBorder="1" applyAlignment="1">
      <alignment horizontal="right"/>
    </xf>
    <xf numFmtId="164" fontId="9" fillId="6" borderId="40" xfId="1" applyNumberFormat="1" applyFont="1" applyFill="1" applyBorder="1" applyAlignment="1">
      <alignment shrinkToFit="1"/>
    </xf>
    <xf numFmtId="164" fontId="4" fillId="0" borderId="2" xfId="1" applyNumberFormat="1" applyFont="1" applyFill="1" applyBorder="1" applyAlignment="1">
      <alignment horizontal="left" vertical="center"/>
    </xf>
    <xf numFmtId="0" fontId="4" fillId="5" borderId="1" xfId="1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9" fontId="5" fillId="5" borderId="1" xfId="2" applyFont="1" applyFill="1" applyBorder="1" applyAlignment="1">
      <alignment vertical="center"/>
    </xf>
    <xf numFmtId="9" fontId="4" fillId="0" borderId="4" xfId="2" applyFont="1" applyFill="1" applyBorder="1" applyAlignment="1">
      <alignment horizontal="left" vertical="center"/>
    </xf>
    <xf numFmtId="9" fontId="4" fillId="0" borderId="41" xfId="2" applyFont="1" applyFill="1" applyBorder="1" applyAlignment="1">
      <alignment horizontal="left" vertical="center"/>
    </xf>
    <xf numFmtId="43" fontId="4" fillId="0" borderId="26" xfId="1" applyNumberFormat="1" applyFont="1" applyFill="1" applyBorder="1" applyAlignment="1">
      <alignment horizontal="left" vertical="center"/>
    </xf>
    <xf numFmtId="43" fontId="4" fillId="0" borderId="4" xfId="1" applyNumberFormat="1" applyFont="1" applyFill="1" applyBorder="1" applyAlignment="1">
      <alignment horizontal="left" vertical="center"/>
    </xf>
    <xf numFmtId="43" fontId="4" fillId="0" borderId="27" xfId="1" applyNumberFormat="1" applyFont="1" applyFill="1" applyBorder="1" applyAlignment="1">
      <alignment horizontal="left" vertical="center"/>
    </xf>
    <xf numFmtId="43" fontId="5" fillId="0" borderId="29" xfId="1" applyNumberFormat="1" applyFont="1" applyFill="1" applyBorder="1" applyAlignment="1">
      <alignment horizontal="left" vertical="center"/>
    </xf>
    <xf numFmtId="43" fontId="5" fillId="0" borderId="1" xfId="1" applyNumberFormat="1" applyFont="1" applyFill="1" applyBorder="1" applyAlignment="1">
      <alignment horizontal="left" vertical="center"/>
    </xf>
    <xf numFmtId="43" fontId="5" fillId="0" borderId="30" xfId="1" applyNumberFormat="1" applyFont="1" applyFill="1" applyBorder="1" applyAlignment="1">
      <alignment horizontal="left" vertical="center"/>
    </xf>
    <xf numFmtId="43" fontId="5" fillId="0" borderId="26" xfId="3" applyNumberFormat="1" applyFont="1" applyFill="1" applyBorder="1" applyAlignment="1">
      <alignment horizontal="left" vertical="center"/>
    </xf>
    <xf numFmtId="43" fontId="5" fillId="0" borderId="4" xfId="3" applyNumberFormat="1" applyFont="1" applyFill="1" applyBorder="1" applyAlignment="1">
      <alignment horizontal="left" vertical="center"/>
    </xf>
    <xf numFmtId="43" fontId="5" fillId="0" borderId="27" xfId="3" applyNumberFormat="1" applyFont="1" applyFill="1" applyBorder="1" applyAlignment="1">
      <alignment horizontal="left" vertical="center"/>
    </xf>
    <xf numFmtId="165" fontId="6" fillId="7" borderId="17" xfId="1" applyNumberFormat="1" applyFont="1" applyFill="1" applyBorder="1" applyAlignment="1">
      <alignment horizontal="center" vertical="center" wrapText="1"/>
    </xf>
    <xf numFmtId="164" fontId="7" fillId="7" borderId="17" xfId="1" applyNumberFormat="1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164" fontId="6" fillId="7" borderId="17" xfId="1" applyNumberFormat="1" applyFont="1" applyFill="1" applyBorder="1" applyAlignment="1">
      <alignment horizontal="center" vertical="center"/>
    </xf>
    <xf numFmtId="164" fontId="6" fillId="7" borderId="18" xfId="1" applyNumberFormat="1" applyFont="1" applyFill="1" applyBorder="1" applyAlignment="1">
      <alignment horizontal="center" vertical="center"/>
    </xf>
    <xf numFmtId="164" fontId="4" fillId="9" borderId="21" xfId="1" applyNumberFormat="1" applyFont="1" applyFill="1" applyBorder="1" applyAlignment="1">
      <alignment horizontal="left" vertical="center"/>
    </xf>
    <xf numFmtId="164" fontId="4" fillId="9" borderId="22" xfId="1" applyNumberFormat="1" applyFont="1" applyFill="1" applyBorder="1" applyAlignment="1">
      <alignment horizontal="left" vertical="center"/>
    </xf>
    <xf numFmtId="9" fontId="4" fillId="9" borderId="23" xfId="2" applyFont="1" applyFill="1" applyBorder="1" applyAlignment="1">
      <alignment horizontal="left" vertical="center"/>
    </xf>
    <xf numFmtId="9" fontId="4" fillId="9" borderId="21" xfId="2" applyFont="1" applyFill="1" applyBorder="1" applyAlignment="1">
      <alignment horizontal="left" vertical="center"/>
    </xf>
    <xf numFmtId="9" fontId="4" fillId="9" borderId="22" xfId="2" applyFont="1" applyFill="1" applyBorder="1" applyAlignment="1">
      <alignment horizontal="left" vertical="center"/>
    </xf>
    <xf numFmtId="164" fontId="5" fillId="9" borderId="1" xfId="1" applyNumberFormat="1" applyFont="1" applyFill="1" applyBorder="1" applyAlignment="1">
      <alignment horizontal="center" vertical="center" wrapText="1"/>
    </xf>
    <xf numFmtId="164" fontId="4" fillId="9" borderId="1" xfId="1" applyNumberFormat="1" applyFont="1" applyFill="1" applyBorder="1" applyAlignment="1">
      <alignment horizontal="left" vertical="center"/>
    </xf>
    <xf numFmtId="164" fontId="4" fillId="9" borderId="35" xfId="1" applyNumberFormat="1" applyFont="1" applyFill="1" applyBorder="1" applyAlignment="1">
      <alignment horizontal="left" vertical="center"/>
    </xf>
    <xf numFmtId="164" fontId="4" fillId="9" borderId="36" xfId="1" applyNumberFormat="1" applyFont="1" applyFill="1" applyBorder="1" applyAlignment="1">
      <alignment horizontal="left" vertical="center"/>
    </xf>
    <xf numFmtId="9" fontId="4" fillId="9" borderId="37" xfId="2" applyFont="1" applyFill="1" applyBorder="1" applyAlignment="1">
      <alignment horizontal="left" vertical="center"/>
    </xf>
    <xf numFmtId="164" fontId="4" fillId="9" borderId="37" xfId="1" applyNumberFormat="1" applyFont="1" applyFill="1" applyBorder="1" applyAlignment="1">
      <alignment horizontal="left" vertical="center"/>
    </xf>
    <xf numFmtId="9" fontId="4" fillId="9" borderId="35" xfId="2" applyFont="1" applyFill="1" applyBorder="1" applyAlignment="1">
      <alignment horizontal="center" vertical="center"/>
    </xf>
    <xf numFmtId="9" fontId="4" fillId="9" borderId="36" xfId="2" applyFont="1" applyFill="1" applyBorder="1" applyAlignment="1">
      <alignment horizontal="center" vertical="center"/>
    </xf>
    <xf numFmtId="164" fontId="4" fillId="9" borderId="37" xfId="1" applyNumberFormat="1" applyFont="1" applyFill="1" applyBorder="1" applyAlignment="1">
      <alignment horizontal="center" vertical="center"/>
    </xf>
    <xf numFmtId="9" fontId="4" fillId="9" borderId="37" xfId="2" applyFont="1" applyFill="1" applyBorder="1" applyAlignment="1">
      <alignment horizontal="center" vertical="center"/>
    </xf>
    <xf numFmtId="164" fontId="4" fillId="8" borderId="1" xfId="1" applyNumberFormat="1" applyFont="1" applyFill="1" applyBorder="1" applyAlignment="1">
      <alignment horizontal="left" vertical="center"/>
    </xf>
    <xf numFmtId="164" fontId="4" fillId="8" borderId="35" xfId="1" applyNumberFormat="1" applyFont="1" applyFill="1" applyBorder="1" applyAlignment="1">
      <alignment horizontal="left" vertical="center"/>
    </xf>
    <xf numFmtId="164" fontId="5" fillId="10" borderId="0" xfId="1" applyNumberFormat="1" applyFont="1" applyFill="1" applyBorder="1" applyAlignment="1">
      <alignment vertical="center"/>
    </xf>
    <xf numFmtId="43" fontId="5" fillId="0" borderId="0" xfId="0" applyNumberFormat="1" applyFont="1" applyFill="1" applyBorder="1" applyAlignment="1">
      <alignment vertical="center"/>
    </xf>
    <xf numFmtId="164" fontId="6" fillId="7" borderId="17" xfId="1" applyNumberFormat="1" applyFont="1" applyFill="1" applyBorder="1" applyAlignment="1">
      <alignment horizontal="center" vertical="center"/>
    </xf>
    <xf numFmtId="0" fontId="4" fillId="0" borderId="20" xfId="1" applyNumberFormat="1" applyFont="1" applyFill="1" applyBorder="1" applyAlignment="1">
      <alignment horizontal="center" vertical="center"/>
    </xf>
    <xf numFmtId="164" fontId="4" fillId="0" borderId="8" xfId="1" applyNumberFormat="1" applyFont="1" applyFill="1" applyBorder="1" applyAlignment="1">
      <alignment horizontal="left" vertical="center"/>
    </xf>
    <xf numFmtId="164" fontId="4" fillId="0" borderId="1" xfId="1" applyNumberFormat="1" applyFont="1" applyFill="1" applyBorder="1" applyAlignment="1">
      <alignment horizontal="left" vertical="center" wrapText="1"/>
    </xf>
    <xf numFmtId="9" fontId="4" fillId="0" borderId="0" xfId="2" applyFont="1" applyFill="1" applyBorder="1" applyAlignment="1">
      <alignment vertical="center"/>
    </xf>
    <xf numFmtId="0" fontId="12" fillId="0" borderId="1" xfId="0" applyFont="1" applyFill="1" applyBorder="1" applyAlignment="1">
      <alignment vertical="center"/>
    </xf>
    <xf numFmtId="43" fontId="4" fillId="0" borderId="26" xfId="1" applyFont="1" applyFill="1" applyBorder="1" applyAlignment="1">
      <alignment horizontal="left" vertical="center"/>
    </xf>
    <xf numFmtId="9" fontId="4" fillId="11" borderId="24" xfId="2" applyFont="1" applyFill="1" applyBorder="1" applyAlignment="1">
      <alignment horizontal="left" vertical="center"/>
    </xf>
    <xf numFmtId="43" fontId="4" fillId="3" borderId="8" xfId="1" applyNumberFormat="1" applyFont="1" applyFill="1" applyBorder="1" applyAlignment="1">
      <alignment horizontal="left" vertical="center"/>
    </xf>
    <xf numFmtId="164" fontId="4" fillId="3" borderId="21" xfId="1" applyNumberFormat="1" applyFont="1" applyFill="1" applyBorder="1" applyAlignment="1">
      <alignment horizontal="left" vertical="center"/>
    </xf>
    <xf numFmtId="164" fontId="4" fillId="11" borderId="21" xfId="1" applyNumberFormat="1" applyFont="1" applyFill="1" applyBorder="1" applyAlignment="1">
      <alignment horizontal="left" vertical="center"/>
    </xf>
    <xf numFmtId="164" fontId="4" fillId="0" borderId="9" xfId="1" applyNumberFormat="1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 indent="1"/>
    </xf>
    <xf numFmtId="43" fontId="4" fillId="0" borderId="8" xfId="1" applyNumberFormat="1" applyFont="1" applyFill="1" applyBorder="1" applyAlignment="1">
      <alignment horizontal="left" vertical="center"/>
    </xf>
    <xf numFmtId="43" fontId="5" fillId="0" borderId="8" xfId="3" applyNumberFormat="1" applyFont="1" applyFill="1" applyBorder="1" applyAlignment="1">
      <alignment horizontal="left" vertical="center"/>
    </xf>
    <xf numFmtId="43" fontId="5" fillId="0" borderId="7" xfId="1" applyNumberFormat="1" applyFont="1" applyFill="1" applyBorder="1" applyAlignment="1">
      <alignment horizontal="left" vertical="center"/>
    </xf>
    <xf numFmtId="164" fontId="5" fillId="0" borderId="6" xfId="3" applyNumberFormat="1" applyFont="1" applyFill="1" applyBorder="1" applyAlignment="1">
      <alignment horizontal="left" vertical="center"/>
    </xf>
    <xf numFmtId="9" fontId="4" fillId="0" borderId="27" xfId="2" applyFont="1" applyFill="1" applyBorder="1" applyAlignment="1">
      <alignment horizontal="left" vertical="center"/>
    </xf>
    <xf numFmtId="9" fontId="4" fillId="9" borderId="38" xfId="2" applyFont="1" applyFill="1" applyBorder="1" applyAlignment="1">
      <alignment horizontal="center" vertical="center"/>
    </xf>
    <xf numFmtId="164" fontId="4" fillId="4" borderId="0" xfId="1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4" fontId="4" fillId="4" borderId="0" xfId="1" applyNumberFormat="1" applyFont="1" applyFill="1" applyBorder="1" applyAlignment="1">
      <alignment horizontal="right" vertical="center"/>
    </xf>
    <xf numFmtId="0" fontId="6" fillId="7" borderId="10" xfId="1" applyNumberFormat="1" applyFont="1" applyFill="1" applyBorder="1" applyAlignment="1">
      <alignment horizontal="center" vertical="center"/>
    </xf>
    <xf numFmtId="0" fontId="6" fillId="7" borderId="13" xfId="1" applyNumberFormat="1" applyFont="1" applyFill="1" applyBorder="1" applyAlignment="1">
      <alignment horizontal="center" vertical="center"/>
    </xf>
    <xf numFmtId="0" fontId="6" fillId="7" borderId="16" xfId="1" applyNumberFormat="1" applyFont="1" applyFill="1" applyBorder="1" applyAlignment="1">
      <alignment horizontal="center" vertical="center"/>
    </xf>
    <xf numFmtId="164" fontId="6" fillId="7" borderId="11" xfId="1" applyNumberFormat="1" applyFont="1" applyFill="1" applyBorder="1" applyAlignment="1">
      <alignment horizontal="center" vertical="center"/>
    </xf>
    <xf numFmtId="164" fontId="6" fillId="7" borderId="14" xfId="1" applyNumberFormat="1" applyFont="1" applyFill="1" applyBorder="1" applyAlignment="1">
      <alignment horizontal="center" vertical="center"/>
    </xf>
    <xf numFmtId="164" fontId="6" fillId="7" borderId="17" xfId="1" applyNumberFormat="1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164" fontId="6" fillId="7" borderId="11" xfId="1" applyNumberFormat="1" applyFont="1" applyFill="1" applyBorder="1" applyAlignment="1">
      <alignment horizontal="center" vertical="center" wrapText="1"/>
    </xf>
    <xf numFmtId="164" fontId="6" fillId="7" borderId="14" xfId="1" applyNumberFormat="1" applyFont="1" applyFill="1" applyBorder="1" applyAlignment="1">
      <alignment horizontal="center" vertical="center" wrapText="1"/>
    </xf>
    <xf numFmtId="164" fontId="6" fillId="7" borderId="17" xfId="1" applyNumberFormat="1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164" fontId="6" fillId="7" borderId="12" xfId="1" applyNumberFormat="1" applyFont="1" applyFill="1" applyBorder="1" applyAlignment="1">
      <alignment horizontal="center" vertical="center"/>
    </xf>
    <xf numFmtId="164" fontId="6" fillId="7" borderId="15" xfId="1" applyNumberFormat="1" applyFont="1" applyFill="1" applyBorder="1" applyAlignment="1">
      <alignment horizontal="center" vertical="center"/>
    </xf>
    <xf numFmtId="164" fontId="4" fillId="9" borderId="33" xfId="1" applyNumberFormat="1" applyFont="1" applyFill="1" applyBorder="1" applyAlignment="1">
      <alignment horizontal="center" vertical="center" wrapText="1"/>
    </xf>
    <xf numFmtId="164" fontId="4" fillId="9" borderId="34" xfId="1" applyNumberFormat="1" applyFont="1" applyFill="1" applyBorder="1" applyAlignment="1">
      <alignment horizontal="center" vertical="center" wrapText="1"/>
    </xf>
    <xf numFmtId="0" fontId="4" fillId="0" borderId="2" xfId="1" applyNumberFormat="1" applyFont="1" applyFill="1" applyBorder="1" applyAlignment="1">
      <alignment horizontal="center" vertical="center"/>
    </xf>
    <xf numFmtId="164" fontId="4" fillId="9" borderId="19" xfId="1" applyNumberFormat="1" applyFont="1" applyFill="1" applyBorder="1" applyAlignment="1">
      <alignment horizontal="center" vertical="center" wrapText="1"/>
    </xf>
    <xf numFmtId="164" fontId="4" fillId="9" borderId="0" xfId="1" applyNumberFormat="1" applyFont="1" applyFill="1" applyBorder="1" applyAlignment="1">
      <alignment horizontal="center" vertical="center" wrapText="1"/>
    </xf>
    <xf numFmtId="0" fontId="4" fillId="0" borderId="42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0" fontId="4" fillId="5" borderId="7" xfId="0" applyFont="1" applyFill="1" applyBorder="1" applyAlignment="1">
      <alignment vertical="center"/>
    </xf>
    <xf numFmtId="9" fontId="4" fillId="9" borderId="43" xfId="2" applyFont="1" applyFill="1" applyBorder="1" applyAlignment="1">
      <alignment horizontal="left" vertical="center"/>
    </xf>
  </cellXfs>
  <cellStyles count="5">
    <cellStyle name="Comma" xfId="1" builtinId="3"/>
    <cellStyle name="Comma 13" xfId="3"/>
    <cellStyle name="Normal" xfId="0" builtinId="0"/>
    <cellStyle name="Normal 6" xfId="4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B195"/>
  <sheetViews>
    <sheetView tabSelected="1" zoomScale="30" zoomScaleNormal="30" zoomScaleSheetLayoutView="30" workbookViewId="0">
      <selection activeCell="U8" sqref="U8:U40"/>
    </sheetView>
  </sheetViews>
  <sheetFormatPr defaultColWidth="8.58203125" defaultRowHeight="41.5" customHeight="1" x14ac:dyDescent="0.3"/>
  <cols>
    <col min="1" max="1" width="8.83203125" style="30" customWidth="1"/>
    <col min="2" max="2" width="62.58203125" style="31" customWidth="1"/>
    <col min="3" max="3" width="31.58203125" style="31" customWidth="1"/>
    <col min="4" max="4" width="33.08203125" style="31" customWidth="1"/>
    <col min="5" max="5" width="28.33203125" style="31" customWidth="1"/>
    <col min="6" max="6" width="39.08203125" style="32" customWidth="1"/>
    <col min="7" max="7" width="41.33203125" style="33" customWidth="1"/>
    <col min="8" max="8" width="41.58203125" style="31" customWidth="1"/>
    <col min="9" max="9" width="34.08203125" style="34" customWidth="1"/>
    <col min="10" max="10" width="37.6640625" style="32" customWidth="1"/>
    <col min="11" max="11" width="29.33203125" style="32" customWidth="1"/>
    <col min="12" max="12" width="26.58203125" style="32" customWidth="1"/>
    <col min="13" max="13" width="33.08203125" style="77" customWidth="1"/>
    <col min="14" max="15" width="27.33203125" style="32" bestFit="1" customWidth="1"/>
    <col min="16" max="16" width="28.6640625" style="32" bestFit="1" customWidth="1"/>
    <col min="17" max="17" width="27.5" style="32" customWidth="1"/>
    <col min="18" max="18" width="27.83203125" style="32" customWidth="1"/>
    <col min="19" max="19" width="28.08203125" style="32" customWidth="1"/>
    <col min="20" max="20" width="27.58203125" style="32" customWidth="1"/>
    <col min="21" max="21" width="31.08203125" style="32" customWidth="1"/>
    <col min="22" max="22" width="19.58203125" style="29" customWidth="1"/>
    <col min="23" max="23" width="33.75" style="29" customWidth="1"/>
    <col min="24" max="24" width="34.58203125" style="29" customWidth="1"/>
    <col min="25" max="25" width="10.58203125" style="29" customWidth="1"/>
    <col min="26" max="27" width="13.33203125" style="15" customWidth="1"/>
    <col min="28" max="28" width="8.58203125" style="15"/>
    <col min="29" max="16384" width="8.58203125" style="29"/>
  </cols>
  <sheetData>
    <row r="1" spans="1:28" s="1" customFormat="1" ht="30" customHeight="1" x14ac:dyDescent="0.3">
      <c r="A1" s="98" t="s">
        <v>28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Z1" s="2"/>
      <c r="AA1" s="2"/>
      <c r="AB1" s="2"/>
    </row>
    <row r="2" spans="1:28" s="1" customFormat="1" ht="41.5" customHeight="1" x14ac:dyDescent="0.3">
      <c r="A2" s="98" t="s">
        <v>61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Z2" s="2"/>
      <c r="AA2" s="2"/>
      <c r="AB2" s="2"/>
    </row>
    <row r="3" spans="1:28" s="1" customFormat="1" ht="41.5" customHeight="1" x14ac:dyDescent="0.3">
      <c r="A3" s="99" t="s">
        <v>43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Z3" s="2"/>
      <c r="AA3" s="2"/>
      <c r="AB3" s="2"/>
    </row>
    <row r="4" spans="1:28" s="3" customFormat="1" ht="41.5" customHeight="1" thickBot="1" x14ac:dyDescent="0.35">
      <c r="A4" s="100" t="s">
        <v>26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Z4" s="4"/>
      <c r="AA4" s="4"/>
      <c r="AB4" s="4"/>
    </row>
    <row r="5" spans="1:28" s="5" customFormat="1" ht="41.5" customHeight="1" thickTop="1" thickBot="1" x14ac:dyDescent="0.35">
      <c r="A5" s="101" t="s">
        <v>0</v>
      </c>
      <c r="B5" s="104" t="s">
        <v>1</v>
      </c>
      <c r="C5" s="107" t="s">
        <v>2</v>
      </c>
      <c r="D5" s="107"/>
      <c r="E5" s="107" t="s">
        <v>3</v>
      </c>
      <c r="F5" s="107"/>
      <c r="G5" s="109" t="s">
        <v>4</v>
      </c>
      <c r="H5" s="107" t="s">
        <v>5</v>
      </c>
      <c r="I5" s="107" t="s">
        <v>27</v>
      </c>
      <c r="J5" s="104" t="s">
        <v>29</v>
      </c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13"/>
      <c r="Z5" s="6"/>
      <c r="AA5" s="6"/>
      <c r="AB5" s="6"/>
    </row>
    <row r="6" spans="1:28" s="5" customFormat="1" ht="41.5" customHeight="1" thickBot="1" x14ac:dyDescent="0.35">
      <c r="A6" s="102"/>
      <c r="B6" s="105"/>
      <c r="C6" s="108"/>
      <c r="D6" s="108"/>
      <c r="E6" s="108"/>
      <c r="F6" s="108"/>
      <c r="G6" s="110"/>
      <c r="H6" s="108"/>
      <c r="I6" s="108"/>
      <c r="J6" s="105" t="s">
        <v>6</v>
      </c>
      <c r="K6" s="105"/>
      <c r="L6" s="105"/>
      <c r="M6" s="105" t="s">
        <v>7</v>
      </c>
      <c r="N6" s="105"/>
      <c r="O6" s="105"/>
      <c r="P6" s="105" t="s">
        <v>8</v>
      </c>
      <c r="Q6" s="105"/>
      <c r="R6" s="105"/>
      <c r="S6" s="105" t="s">
        <v>9</v>
      </c>
      <c r="T6" s="105"/>
      <c r="U6" s="114"/>
      <c r="Z6" s="6"/>
      <c r="AA6" s="6"/>
      <c r="AB6" s="6"/>
    </row>
    <row r="7" spans="1:28" s="5" customFormat="1" ht="96" customHeight="1" thickBot="1" x14ac:dyDescent="0.35">
      <c r="A7" s="103"/>
      <c r="B7" s="106"/>
      <c r="C7" s="55">
        <v>45107</v>
      </c>
      <c r="D7" s="55">
        <v>45473</v>
      </c>
      <c r="E7" s="56" t="s">
        <v>42</v>
      </c>
      <c r="F7" s="57" t="s">
        <v>62</v>
      </c>
      <c r="G7" s="111"/>
      <c r="H7" s="112"/>
      <c r="I7" s="112"/>
      <c r="J7" s="58" t="s">
        <v>10</v>
      </c>
      <c r="K7" s="58" t="s">
        <v>11</v>
      </c>
      <c r="L7" s="58" t="s">
        <v>12</v>
      </c>
      <c r="M7" s="79" t="s">
        <v>13</v>
      </c>
      <c r="N7" s="58" t="s">
        <v>14</v>
      </c>
      <c r="O7" s="58" t="s">
        <v>15</v>
      </c>
      <c r="P7" s="58" t="s">
        <v>16</v>
      </c>
      <c r="Q7" s="58" t="s">
        <v>17</v>
      </c>
      <c r="R7" s="58" t="s">
        <v>18</v>
      </c>
      <c r="S7" s="58" t="s">
        <v>19</v>
      </c>
      <c r="T7" s="58" t="s">
        <v>20</v>
      </c>
      <c r="U7" s="59" t="s">
        <v>21</v>
      </c>
      <c r="Z7" s="6"/>
      <c r="AA7" s="6"/>
      <c r="AB7" s="6"/>
    </row>
    <row r="8" spans="1:28" s="7" customFormat="1" ht="54.65" customHeight="1" thickTop="1" thickBot="1" x14ac:dyDescent="0.35">
      <c r="A8" s="118" t="s">
        <v>34</v>
      </c>
      <c r="B8" s="119"/>
      <c r="C8" s="60"/>
      <c r="D8" s="61">
        <f>SUM(D9:D17)</f>
        <v>0</v>
      </c>
      <c r="E8" s="61">
        <f t="shared" ref="E8" si="0">SUM(E9:E17)</f>
        <v>0</v>
      </c>
      <c r="F8" s="61">
        <f>SUM(F9:F21)</f>
        <v>42115674.57</v>
      </c>
      <c r="G8" s="89">
        <v>405000000</v>
      </c>
      <c r="H8" s="61">
        <f>F8+G8</f>
        <v>447115674.56999999</v>
      </c>
      <c r="I8" s="62">
        <f>SUM(G8/F8)</f>
        <v>9.6163721496815615</v>
      </c>
      <c r="J8" s="63">
        <v>0.1</v>
      </c>
      <c r="K8" s="64">
        <v>0.2</v>
      </c>
      <c r="L8" s="62">
        <v>0.25</v>
      </c>
      <c r="M8" s="86">
        <v>0.3</v>
      </c>
      <c r="N8" s="64">
        <v>0.35</v>
      </c>
      <c r="O8" s="64">
        <v>0.4</v>
      </c>
      <c r="P8" s="63">
        <v>0.5</v>
      </c>
      <c r="Q8" s="64">
        <v>0.6</v>
      </c>
      <c r="R8" s="62">
        <v>0.7</v>
      </c>
      <c r="S8" s="64">
        <v>0.8</v>
      </c>
      <c r="T8" s="64">
        <v>0.9</v>
      </c>
      <c r="U8" s="123">
        <v>1</v>
      </c>
      <c r="Z8" s="8"/>
      <c r="AA8" s="8"/>
      <c r="AB8" s="8"/>
    </row>
    <row r="9" spans="1:28" s="14" customFormat="1" ht="51" customHeight="1" thickTop="1" thickBot="1" x14ac:dyDescent="0.35">
      <c r="A9" s="120">
        <v>1</v>
      </c>
      <c r="B9" s="82" t="s">
        <v>32</v>
      </c>
      <c r="C9" s="81"/>
      <c r="D9" s="10"/>
      <c r="E9" s="37"/>
      <c r="F9" s="10">
        <v>5397870.8899999997</v>
      </c>
      <c r="G9" s="88">
        <v>40500000</v>
      </c>
      <c r="H9" s="10">
        <f>F9+G9</f>
        <v>45897870.890000001</v>
      </c>
      <c r="I9" s="44">
        <f>G9/F9</f>
        <v>7.5029582636053016</v>
      </c>
      <c r="J9" s="9">
        <f>H9*J8</f>
        <v>4589787.0890000006</v>
      </c>
      <c r="K9" s="47">
        <f>H9*K8</f>
        <v>9179574.1780000012</v>
      </c>
      <c r="L9" s="48">
        <f>H9*L8</f>
        <v>11474467.7225</v>
      </c>
      <c r="M9" s="87">
        <f>H9*M8</f>
        <v>13769361.266999999</v>
      </c>
      <c r="N9" s="47">
        <f>H9*N8</f>
        <v>16064254.8115</v>
      </c>
      <c r="O9" s="47">
        <f>H9*O8</f>
        <v>18359148.356000002</v>
      </c>
      <c r="P9" s="46">
        <f>H9*P8</f>
        <v>22948935.445</v>
      </c>
      <c r="Q9" s="47">
        <f>H9*Q8</f>
        <v>27538722.533999998</v>
      </c>
      <c r="R9" s="48">
        <f>H9*R8</f>
        <v>32128509.623</v>
      </c>
      <c r="S9" s="47">
        <f>H9*S8</f>
        <v>36718296.712000005</v>
      </c>
      <c r="T9" s="47">
        <f>H9*T8</f>
        <v>41308083.800999999</v>
      </c>
      <c r="U9" s="10">
        <f>H9*U8</f>
        <v>45897870.890000001</v>
      </c>
      <c r="V9" s="12"/>
      <c r="W9" s="13"/>
      <c r="Z9" s="15"/>
      <c r="AA9" s="15"/>
      <c r="AB9" s="15"/>
    </row>
    <row r="10" spans="1:28" s="14" customFormat="1" ht="51" customHeight="1" thickTop="1" thickBot="1" x14ac:dyDescent="0.35">
      <c r="A10" s="121"/>
      <c r="B10" s="82" t="s">
        <v>35</v>
      </c>
      <c r="C10" s="81"/>
      <c r="D10" s="10"/>
      <c r="E10" s="37"/>
      <c r="F10" s="10">
        <v>20414103.739999998</v>
      </c>
      <c r="G10" s="88">
        <v>60750000</v>
      </c>
      <c r="H10" s="10">
        <f t="shared" ref="H10:H20" si="1">F10+G10</f>
        <v>81164103.739999995</v>
      </c>
      <c r="I10" s="44">
        <f t="shared" ref="I10:I16" si="2">G10/F10</f>
        <v>2.9758837700508329</v>
      </c>
      <c r="J10" s="85">
        <f>H10*J8</f>
        <v>8116410.3739999998</v>
      </c>
      <c r="K10" s="47">
        <f>H10*K8</f>
        <v>16232820.748</v>
      </c>
      <c r="L10" s="48">
        <f>H10*L8</f>
        <v>20291025.934999999</v>
      </c>
      <c r="M10" s="87">
        <f>H10*M8</f>
        <v>24349231.121999998</v>
      </c>
      <c r="N10" s="47">
        <f>H10*N8</f>
        <v>28407436.308999997</v>
      </c>
      <c r="O10" s="47">
        <f>H10*O8</f>
        <v>32465641.495999999</v>
      </c>
      <c r="P10" s="46">
        <f>H10*P8</f>
        <v>40582051.869999997</v>
      </c>
      <c r="Q10" s="47">
        <f>H10*Q8</f>
        <v>48698462.243999995</v>
      </c>
      <c r="R10" s="48">
        <f>H10*R8</f>
        <v>56814872.617999993</v>
      </c>
      <c r="S10" s="47">
        <f>H10*S8</f>
        <v>64931282.991999999</v>
      </c>
      <c r="T10" s="47">
        <f>H10*T8</f>
        <v>73047693.365999997</v>
      </c>
      <c r="U10" s="10">
        <f>H10*U8</f>
        <v>81164103.739999995</v>
      </c>
      <c r="V10" s="12"/>
      <c r="W10" s="13"/>
      <c r="Z10" s="15"/>
      <c r="AA10" s="15"/>
      <c r="AB10" s="15"/>
    </row>
    <row r="11" spans="1:28" s="14" customFormat="1" ht="51" customHeight="1" thickTop="1" thickBot="1" x14ac:dyDescent="0.35">
      <c r="A11" s="121"/>
      <c r="B11" s="82" t="s">
        <v>36</v>
      </c>
      <c r="C11" s="81"/>
      <c r="D11" s="10"/>
      <c r="E11" s="37"/>
      <c r="F11" s="10">
        <v>1272354</v>
      </c>
      <c r="G11" s="88">
        <v>28350000</v>
      </c>
      <c r="H11" s="10">
        <f t="shared" si="1"/>
        <v>29622354</v>
      </c>
      <c r="I11" s="44">
        <f t="shared" si="2"/>
        <v>22.281534855865583</v>
      </c>
      <c r="J11" s="85">
        <f>H11*J8</f>
        <v>2962235.4000000004</v>
      </c>
      <c r="K11" s="47">
        <f>H11*K8</f>
        <v>5924470.8000000007</v>
      </c>
      <c r="L11" s="48">
        <f>H11*L8</f>
        <v>7405588.5</v>
      </c>
      <c r="M11" s="87">
        <f>H11*M8</f>
        <v>8886706.1999999993</v>
      </c>
      <c r="N11" s="47">
        <f>H11*N8</f>
        <v>10367823.899999999</v>
      </c>
      <c r="O11" s="47">
        <f>H11*O8</f>
        <v>11848941.600000001</v>
      </c>
      <c r="P11" s="46">
        <f>H11*P8</f>
        <v>14811177</v>
      </c>
      <c r="Q11" s="47">
        <f>H11*Q8</f>
        <v>17773412.399999999</v>
      </c>
      <c r="R11" s="48">
        <f>H11*R8</f>
        <v>20735647.799999997</v>
      </c>
      <c r="S11" s="47">
        <f>H11*S8</f>
        <v>23697883.200000003</v>
      </c>
      <c r="T11" s="47">
        <f>H11*T8</f>
        <v>26660118.600000001</v>
      </c>
      <c r="U11" s="10">
        <f>H11*U8</f>
        <v>29622354</v>
      </c>
      <c r="V11" s="12"/>
      <c r="W11" s="13"/>
      <c r="Z11" s="15"/>
      <c r="AA11" s="15"/>
      <c r="AB11" s="15"/>
    </row>
    <row r="12" spans="1:28" s="14" customFormat="1" ht="51" customHeight="1" thickTop="1" thickBot="1" x14ac:dyDescent="0.35">
      <c r="A12" s="121"/>
      <c r="B12" s="82" t="s">
        <v>44</v>
      </c>
      <c r="C12" s="81"/>
      <c r="D12" s="10"/>
      <c r="E12" s="37"/>
      <c r="F12" s="10">
        <v>670363.28</v>
      </c>
      <c r="G12" s="88">
        <v>16200000</v>
      </c>
      <c r="H12" s="10">
        <f t="shared" si="1"/>
        <v>16870363.280000001</v>
      </c>
      <c r="I12" s="44">
        <f t="shared" si="2"/>
        <v>24.166001455210971</v>
      </c>
      <c r="J12" s="85">
        <f>H12*J8</f>
        <v>1687036.3280000002</v>
      </c>
      <c r="K12" s="47">
        <f>H12*K8</f>
        <v>3374072.6560000004</v>
      </c>
      <c r="L12" s="48">
        <f>H12*L8</f>
        <v>4217590.82</v>
      </c>
      <c r="M12" s="87">
        <f>H12*M8</f>
        <v>5061108.9840000002</v>
      </c>
      <c r="N12" s="47">
        <f>H12*N8</f>
        <v>5904627.148</v>
      </c>
      <c r="O12" s="47">
        <f>H12*O8</f>
        <v>6748145.3120000008</v>
      </c>
      <c r="P12" s="46">
        <f>H12*P8</f>
        <v>8435181.6400000006</v>
      </c>
      <c r="Q12" s="47">
        <f>H12*Q8</f>
        <v>10122217.968</v>
      </c>
      <c r="R12" s="48">
        <f>H12*R8</f>
        <v>11809254.296</v>
      </c>
      <c r="S12" s="47">
        <f>H12*S8</f>
        <v>13496290.624000002</v>
      </c>
      <c r="T12" s="47">
        <f>H12*T8</f>
        <v>15183326.952000001</v>
      </c>
      <c r="U12" s="10">
        <f>H12*U8</f>
        <v>16870363.280000001</v>
      </c>
      <c r="V12" s="12"/>
      <c r="W12" s="13"/>
      <c r="Z12" s="15"/>
      <c r="AA12" s="15"/>
      <c r="AB12" s="15"/>
    </row>
    <row r="13" spans="1:28" s="14" customFormat="1" ht="51" customHeight="1" thickTop="1" thickBot="1" x14ac:dyDescent="0.35">
      <c r="A13" s="121"/>
      <c r="B13" s="82" t="s">
        <v>45</v>
      </c>
      <c r="C13" s="81"/>
      <c r="D13" s="10"/>
      <c r="E13" s="37"/>
      <c r="F13" s="10">
        <v>330414.75</v>
      </c>
      <c r="G13" s="88">
        <v>16200000</v>
      </c>
      <c r="H13" s="10">
        <f t="shared" si="1"/>
        <v>16530414.75</v>
      </c>
      <c r="I13" s="44">
        <f t="shared" si="2"/>
        <v>49.029288190070204</v>
      </c>
      <c r="J13" s="85">
        <f>H13*J8</f>
        <v>1653041.4750000001</v>
      </c>
      <c r="K13" s="47">
        <f>H13*K8</f>
        <v>3306082.95</v>
      </c>
      <c r="L13" s="48">
        <f>H13*L8</f>
        <v>4132603.6875</v>
      </c>
      <c r="M13" s="87">
        <f>H13*M8</f>
        <v>4959124.4249999998</v>
      </c>
      <c r="N13" s="47">
        <f>H13*N8</f>
        <v>5785645.1624999996</v>
      </c>
      <c r="O13" s="47">
        <f>H13*O8</f>
        <v>6612165.9000000004</v>
      </c>
      <c r="P13" s="46">
        <f>H13*P8</f>
        <v>8265207.375</v>
      </c>
      <c r="Q13" s="47">
        <f>H13*Q8</f>
        <v>9918248.8499999996</v>
      </c>
      <c r="R13" s="48">
        <f>H13*R8</f>
        <v>11571290.324999999</v>
      </c>
      <c r="S13" s="47">
        <f>H13*S8</f>
        <v>13224331.800000001</v>
      </c>
      <c r="T13" s="47">
        <f>H13*T8</f>
        <v>14877373.275</v>
      </c>
      <c r="U13" s="10">
        <f>H13*U8</f>
        <v>16530414.75</v>
      </c>
      <c r="V13" s="12"/>
      <c r="W13" s="13"/>
      <c r="Z13" s="15"/>
      <c r="AA13" s="15"/>
      <c r="AB13" s="15"/>
    </row>
    <row r="14" spans="1:28" s="14" customFormat="1" ht="51" customHeight="1" thickTop="1" thickBot="1" x14ac:dyDescent="0.35">
      <c r="A14" s="121"/>
      <c r="B14" s="82" t="s">
        <v>38</v>
      </c>
      <c r="C14" s="81"/>
      <c r="D14" s="10"/>
      <c r="E14" s="37"/>
      <c r="F14" s="10">
        <v>78536.44</v>
      </c>
      <c r="G14" s="88">
        <v>12150000</v>
      </c>
      <c r="H14" s="10">
        <f t="shared" si="1"/>
        <v>12228536.439999999</v>
      </c>
      <c r="I14" s="44">
        <f t="shared" si="2"/>
        <v>154.70525529295699</v>
      </c>
      <c r="J14" s="85">
        <f>H14*J8</f>
        <v>1222853.6440000001</v>
      </c>
      <c r="K14" s="47">
        <f>H14*K8</f>
        <v>2445707.2880000002</v>
      </c>
      <c r="L14" s="48">
        <f>H14*L8</f>
        <v>3057134.11</v>
      </c>
      <c r="M14" s="87">
        <f>H14*M8</f>
        <v>3668560.9319999996</v>
      </c>
      <c r="N14" s="47">
        <f>H14*N8</f>
        <v>4279987.7539999997</v>
      </c>
      <c r="O14" s="47">
        <f>H14*O8</f>
        <v>4891414.5760000004</v>
      </c>
      <c r="P14" s="46">
        <f>H14*P8</f>
        <v>6114268.2199999997</v>
      </c>
      <c r="Q14" s="47">
        <f>H14*Q8</f>
        <v>7337121.8639999991</v>
      </c>
      <c r="R14" s="48">
        <f>H14*R8</f>
        <v>8559975.5079999994</v>
      </c>
      <c r="S14" s="47">
        <f>H14*S8</f>
        <v>9782829.1520000007</v>
      </c>
      <c r="T14" s="47">
        <f>H14*T8</f>
        <v>11005682.796</v>
      </c>
      <c r="U14" s="10">
        <f>H14*U8</f>
        <v>12228536.439999999</v>
      </c>
      <c r="V14" s="12"/>
      <c r="W14" s="13"/>
      <c r="Z14" s="15"/>
      <c r="AA14" s="15"/>
      <c r="AB14" s="15"/>
    </row>
    <row r="15" spans="1:28" s="14" customFormat="1" ht="51" customHeight="1" thickTop="1" thickBot="1" x14ac:dyDescent="0.35">
      <c r="A15" s="121"/>
      <c r="B15" s="82" t="s">
        <v>37</v>
      </c>
      <c r="C15" s="81"/>
      <c r="D15" s="10"/>
      <c r="E15" s="37"/>
      <c r="F15" s="10">
        <v>150633.43</v>
      </c>
      <c r="G15" s="88">
        <v>8100000</v>
      </c>
      <c r="H15" s="10">
        <f t="shared" si="1"/>
        <v>8250633.4299999997</v>
      </c>
      <c r="I15" s="44">
        <f t="shared" si="2"/>
        <v>53.772924111201611</v>
      </c>
      <c r="J15" s="85">
        <f>H15*J8</f>
        <v>825063.34299999999</v>
      </c>
      <c r="K15" s="47">
        <f>H15*K8</f>
        <v>1650126.686</v>
      </c>
      <c r="L15" s="48">
        <f>H15*L8</f>
        <v>2062658.3574999999</v>
      </c>
      <c r="M15" s="87">
        <f>H15*M8</f>
        <v>2475190.0289999996</v>
      </c>
      <c r="N15" s="47">
        <f>H15*N8</f>
        <v>2887721.7004999998</v>
      </c>
      <c r="O15" s="47">
        <f>H15*O8</f>
        <v>3300253.372</v>
      </c>
      <c r="P15" s="46">
        <f>H15*P8</f>
        <v>4125316.7149999999</v>
      </c>
      <c r="Q15" s="47">
        <f>H15*Q8</f>
        <v>4950380.0579999993</v>
      </c>
      <c r="R15" s="48">
        <f>H15*R8</f>
        <v>5775443.4009999996</v>
      </c>
      <c r="S15" s="47">
        <f>H15*S8</f>
        <v>6600506.7439999999</v>
      </c>
      <c r="T15" s="47">
        <f>H15*T8</f>
        <v>7425570.0870000003</v>
      </c>
      <c r="U15" s="10">
        <f>H15*U8</f>
        <v>8250633.4299999997</v>
      </c>
      <c r="V15" s="12"/>
      <c r="Z15" s="15"/>
      <c r="AA15" s="15"/>
      <c r="AB15" s="15"/>
    </row>
    <row r="16" spans="1:28" s="14" customFormat="1" ht="51" customHeight="1" thickTop="1" thickBot="1" x14ac:dyDescent="0.35">
      <c r="A16" s="121"/>
      <c r="B16" s="82" t="s">
        <v>33</v>
      </c>
      <c r="C16" s="81"/>
      <c r="D16" s="10"/>
      <c r="E16" s="37"/>
      <c r="F16" s="10">
        <v>10331866.26</v>
      </c>
      <c r="G16" s="88">
        <v>64800000</v>
      </c>
      <c r="H16" s="10">
        <f t="shared" si="1"/>
        <v>75131866.260000005</v>
      </c>
      <c r="I16" s="44">
        <f t="shared" si="2"/>
        <v>6.2718581879901336</v>
      </c>
      <c r="J16" s="85">
        <f>H16*J8</f>
        <v>7513186.6260000011</v>
      </c>
      <c r="K16" s="47">
        <f>H16*K8</f>
        <v>15026373.252000002</v>
      </c>
      <c r="L16" s="48">
        <f>H16*L8</f>
        <v>18782966.565000001</v>
      </c>
      <c r="M16" s="87">
        <f>H16*M8</f>
        <v>22539559.878000002</v>
      </c>
      <c r="N16" s="47">
        <f>H16*N8</f>
        <v>26296153.191</v>
      </c>
      <c r="O16" s="47">
        <f>H16*O8</f>
        <v>30052746.504000004</v>
      </c>
      <c r="P16" s="46">
        <f>H16*P8</f>
        <v>37565933.130000003</v>
      </c>
      <c r="Q16" s="47">
        <f>H16*Q8</f>
        <v>45079119.756000005</v>
      </c>
      <c r="R16" s="48">
        <f>H16*R8</f>
        <v>52592306.381999999</v>
      </c>
      <c r="S16" s="47">
        <f>H16*S8</f>
        <v>60105493.008000009</v>
      </c>
      <c r="T16" s="47">
        <f>H16*T8</f>
        <v>67618679.634000003</v>
      </c>
      <c r="U16" s="10">
        <f>H16*U8</f>
        <v>75131866.260000005</v>
      </c>
      <c r="V16" s="12"/>
      <c r="Z16" s="15"/>
      <c r="AA16" s="15"/>
      <c r="AB16" s="15"/>
    </row>
    <row r="17" spans="1:28" s="14" customFormat="1" ht="51" customHeight="1" thickTop="1" thickBot="1" x14ac:dyDescent="0.35">
      <c r="A17" s="121"/>
      <c r="B17" s="84" t="s">
        <v>48</v>
      </c>
      <c r="C17" s="81"/>
      <c r="D17" s="10"/>
      <c r="E17" s="37"/>
      <c r="F17" s="14">
        <v>0</v>
      </c>
      <c r="G17" s="88">
        <v>101250000</v>
      </c>
      <c r="H17" s="10">
        <f t="shared" si="1"/>
        <v>101250000</v>
      </c>
      <c r="I17" s="44">
        <f>G17/F18</f>
        <v>30.496112750113607</v>
      </c>
      <c r="J17" s="85">
        <f>H17*J8</f>
        <v>10125000</v>
      </c>
      <c r="K17" s="47">
        <f>H17*K8</f>
        <v>20250000</v>
      </c>
      <c r="L17" s="48">
        <f>H17*L8</f>
        <v>25312500</v>
      </c>
      <c r="M17" s="87">
        <f>H17*M8</f>
        <v>30375000</v>
      </c>
      <c r="N17" s="47">
        <f>H17*N8</f>
        <v>35437500</v>
      </c>
      <c r="O17" s="47">
        <f>H17*O8</f>
        <v>40500000</v>
      </c>
      <c r="P17" s="46">
        <f>H17*P8</f>
        <v>50625000</v>
      </c>
      <c r="Q17" s="47">
        <f>H17*Q8</f>
        <v>60750000</v>
      </c>
      <c r="R17" s="48">
        <f>H17*R8</f>
        <v>70875000</v>
      </c>
      <c r="S17" s="47">
        <f>H17*S8</f>
        <v>81000000</v>
      </c>
      <c r="T17" s="47">
        <f>H17*T8</f>
        <v>91125000</v>
      </c>
      <c r="U17" s="10">
        <f>H17*U8</f>
        <v>101250000</v>
      </c>
      <c r="V17" s="12"/>
      <c r="W17" s="78"/>
      <c r="Z17" s="15"/>
      <c r="AA17" s="15"/>
      <c r="AB17" s="15"/>
    </row>
    <row r="18" spans="1:28" s="14" customFormat="1" ht="51" customHeight="1" thickTop="1" thickBot="1" x14ac:dyDescent="0.35">
      <c r="A18" s="121"/>
      <c r="B18" s="91" t="s">
        <v>47</v>
      </c>
      <c r="C18" s="81"/>
      <c r="D18" s="10"/>
      <c r="E18" s="37"/>
      <c r="F18" s="10">
        <v>3320095.28</v>
      </c>
      <c r="G18" s="88">
        <v>16200000</v>
      </c>
      <c r="H18" s="10">
        <f t="shared" si="1"/>
        <v>19520095.280000001</v>
      </c>
      <c r="I18" s="44">
        <f>G18/F18</f>
        <v>4.8793780400181772</v>
      </c>
      <c r="J18" s="85">
        <f>H18*J8</f>
        <v>1952009.5280000002</v>
      </c>
      <c r="K18" s="47">
        <f>H18*K8</f>
        <v>3904019.0560000003</v>
      </c>
      <c r="L18" s="48">
        <f>H18*L8</f>
        <v>4880023.82</v>
      </c>
      <c r="M18" s="87">
        <f>H18*M8</f>
        <v>5856028.5839999998</v>
      </c>
      <c r="N18" s="47">
        <f>H18*N8</f>
        <v>6832033.3480000002</v>
      </c>
      <c r="O18" s="47">
        <f>H18*O8</f>
        <v>7808038.1120000007</v>
      </c>
      <c r="P18" s="46">
        <f>H18*P8</f>
        <v>9760047.6400000006</v>
      </c>
      <c r="Q18" s="47">
        <f>H18*Q8</f>
        <v>11712057.168</v>
      </c>
      <c r="R18" s="48">
        <f>H18*R8</f>
        <v>13664066.696</v>
      </c>
      <c r="S18" s="47">
        <f>H18*S8</f>
        <v>15616076.224000001</v>
      </c>
      <c r="T18" s="47">
        <f>H18*T8</f>
        <v>17568085.752</v>
      </c>
      <c r="U18" s="10">
        <f>H18*U8</f>
        <v>19520095.280000001</v>
      </c>
      <c r="V18" s="12"/>
      <c r="W18" s="78"/>
      <c r="Z18" s="15"/>
      <c r="AA18" s="15"/>
      <c r="AB18" s="15"/>
    </row>
    <row r="19" spans="1:28" s="14" customFormat="1" ht="51" customHeight="1" thickTop="1" thickBot="1" x14ac:dyDescent="0.35">
      <c r="A19" s="121"/>
      <c r="B19" s="84" t="s">
        <v>46</v>
      </c>
      <c r="C19" s="81"/>
      <c r="D19" s="10"/>
      <c r="E19" s="37"/>
      <c r="F19" s="10"/>
      <c r="G19" s="88">
        <v>12150000</v>
      </c>
      <c r="H19" s="10">
        <f t="shared" si="1"/>
        <v>12150000</v>
      </c>
      <c r="I19" s="44" t="e">
        <f>G19/F19</f>
        <v>#DIV/0!</v>
      </c>
      <c r="J19" s="85">
        <f>H19*J8</f>
        <v>1215000</v>
      </c>
      <c r="K19" s="47">
        <f>H19*K8</f>
        <v>2430000</v>
      </c>
      <c r="L19" s="48">
        <f>H19*L8</f>
        <v>3037500</v>
      </c>
      <c r="M19" s="87">
        <f>H19*M8</f>
        <v>3645000</v>
      </c>
      <c r="N19" s="47">
        <f>H19*N8</f>
        <v>4252500</v>
      </c>
      <c r="O19" s="47">
        <f>H19*O8</f>
        <v>4860000</v>
      </c>
      <c r="P19" s="46">
        <f>H19*P8</f>
        <v>6075000</v>
      </c>
      <c r="Q19" s="47">
        <f>H19*Q8</f>
        <v>7290000</v>
      </c>
      <c r="R19" s="48">
        <f>H19*R8</f>
        <v>8505000</v>
      </c>
      <c r="S19" s="47">
        <f>H19*S8</f>
        <v>9720000</v>
      </c>
      <c r="T19" s="47">
        <f>H19*T8</f>
        <v>10935000</v>
      </c>
      <c r="U19" s="10">
        <f>H19*U8</f>
        <v>12150000</v>
      </c>
      <c r="V19" s="12"/>
      <c r="Z19" s="15"/>
      <c r="AA19" s="15"/>
      <c r="AB19" s="15"/>
    </row>
    <row r="20" spans="1:28" s="12" customFormat="1" ht="51" customHeight="1" thickTop="1" thickBot="1" x14ac:dyDescent="0.35">
      <c r="A20" s="80"/>
      <c r="B20" s="82" t="s">
        <v>57</v>
      </c>
      <c r="C20" s="90"/>
      <c r="D20" s="40"/>
      <c r="E20" s="40"/>
      <c r="F20" s="10">
        <v>149436.5</v>
      </c>
      <c r="G20" s="88">
        <v>28350000</v>
      </c>
      <c r="H20" s="10">
        <f t="shared" si="1"/>
        <v>28499436.5</v>
      </c>
      <c r="I20" s="45">
        <f>G20/F20</f>
        <v>189.71268732873159</v>
      </c>
      <c r="J20" s="85">
        <f>H20*J8</f>
        <v>2849943.6500000004</v>
      </c>
      <c r="K20" s="47">
        <f>H20*K8</f>
        <v>5699887.3000000007</v>
      </c>
      <c r="L20" s="48">
        <f>H20*L8</f>
        <v>7124859.125</v>
      </c>
      <c r="M20" s="87">
        <f>H20*M8</f>
        <v>8549830.9499999993</v>
      </c>
      <c r="N20" s="47">
        <f>H20*N8</f>
        <v>9974802.7749999985</v>
      </c>
      <c r="O20" s="47">
        <f>H20*O8</f>
        <v>11399774.600000001</v>
      </c>
      <c r="P20" s="46">
        <f>H20*P8</f>
        <v>14249718.25</v>
      </c>
      <c r="Q20" s="47">
        <f>H20*Q8</f>
        <v>17099661.899999999</v>
      </c>
      <c r="R20" s="48">
        <f>H20*R8</f>
        <v>19949605.549999997</v>
      </c>
      <c r="S20" s="47">
        <f>H20*S8</f>
        <v>22799549.200000003</v>
      </c>
      <c r="T20" s="47">
        <f>H20*T8</f>
        <v>25649492.850000001</v>
      </c>
      <c r="U20" s="10">
        <f>H20*U8</f>
        <v>28499436.5</v>
      </c>
      <c r="Z20" s="83"/>
      <c r="AA20" s="83"/>
      <c r="AB20" s="83"/>
    </row>
    <row r="21" spans="1:28" s="42" customFormat="1" ht="51" customHeight="1" thickTop="1" thickBot="1" x14ac:dyDescent="0.35">
      <c r="A21" s="41"/>
      <c r="B21" s="65" t="s">
        <v>49</v>
      </c>
      <c r="C21" s="66"/>
      <c r="D21" s="66"/>
      <c r="E21" s="66"/>
      <c r="F21" s="66"/>
      <c r="G21" s="66"/>
      <c r="H21" s="66"/>
      <c r="I21" s="66"/>
      <c r="J21" s="75">
        <f>SUM(J9:J20)</f>
        <v>44711567.456999995</v>
      </c>
      <c r="K21" s="75">
        <f t="shared" ref="K21:U21" si="3">SUM(K9:K20)</f>
        <v>89423134.91399999</v>
      </c>
      <c r="L21" s="75">
        <f t="shared" si="3"/>
        <v>111778918.64250001</v>
      </c>
      <c r="M21" s="75">
        <f t="shared" si="3"/>
        <v>134134702.37100001</v>
      </c>
      <c r="N21" s="75">
        <f t="shared" si="3"/>
        <v>156490486.09949997</v>
      </c>
      <c r="O21" s="75">
        <f t="shared" si="3"/>
        <v>178846269.82799998</v>
      </c>
      <c r="P21" s="75">
        <f t="shared" si="3"/>
        <v>223557837.28500003</v>
      </c>
      <c r="Q21" s="75">
        <f t="shared" si="3"/>
        <v>268269404.74200001</v>
      </c>
      <c r="R21" s="75">
        <f t="shared" si="3"/>
        <v>312980972.19899994</v>
      </c>
      <c r="S21" s="75">
        <f t="shared" si="3"/>
        <v>357692539.65599996</v>
      </c>
      <c r="T21" s="75">
        <f t="shared" si="3"/>
        <v>402404107.11300004</v>
      </c>
      <c r="U21" s="75">
        <f t="shared" si="3"/>
        <v>447115674.57000005</v>
      </c>
      <c r="V21" s="122"/>
      <c r="Z21" s="43"/>
      <c r="AA21" s="43"/>
      <c r="AB21" s="43"/>
    </row>
    <row r="22" spans="1:28" s="7" customFormat="1" ht="54.65" customHeight="1" thickTop="1" thickBot="1" x14ac:dyDescent="0.35">
      <c r="A22" s="115" t="s">
        <v>39</v>
      </c>
      <c r="B22" s="116"/>
      <c r="C22" s="67"/>
      <c r="D22" s="68"/>
      <c r="E22" s="68"/>
      <c r="F22" s="68">
        <f>SUM(F23:F32)</f>
        <v>5801</v>
      </c>
      <c r="G22" s="67">
        <f>SUM(G23:G32)</f>
        <v>45398</v>
      </c>
      <c r="H22" s="68">
        <f>SUM(H23:H32)</f>
        <v>51199</v>
      </c>
      <c r="I22" s="69">
        <f>G22/F22</f>
        <v>7.8258920875711082</v>
      </c>
      <c r="J22" s="76">
        <f t="shared" ref="J22:U22" si="4">SUM(J23:J32)</f>
        <v>5119.9000000000005</v>
      </c>
      <c r="K22" s="76">
        <f t="shared" si="4"/>
        <v>10239.800000000001</v>
      </c>
      <c r="L22" s="76">
        <f t="shared" si="4"/>
        <v>12799.75</v>
      </c>
      <c r="M22" s="76">
        <f t="shared" si="4"/>
        <v>15359.7</v>
      </c>
      <c r="N22" s="76">
        <f t="shared" si="4"/>
        <v>17919.649999999998</v>
      </c>
      <c r="O22" s="76">
        <f t="shared" si="4"/>
        <v>20479.600000000002</v>
      </c>
      <c r="P22" s="76">
        <f t="shared" si="4"/>
        <v>25599.5</v>
      </c>
      <c r="Q22" s="76">
        <f t="shared" si="4"/>
        <v>30719.4</v>
      </c>
      <c r="R22" s="76">
        <f t="shared" si="4"/>
        <v>35839.299999999996</v>
      </c>
      <c r="S22" s="76">
        <f t="shared" si="4"/>
        <v>40959.200000000004</v>
      </c>
      <c r="T22" s="76">
        <f t="shared" si="4"/>
        <v>46079.1</v>
      </c>
      <c r="U22" s="76">
        <f t="shared" si="4"/>
        <v>51199</v>
      </c>
      <c r="Z22" s="8"/>
      <c r="AA22" s="8"/>
      <c r="AB22" s="8"/>
    </row>
    <row r="23" spans="1:28" s="14" customFormat="1" ht="51" customHeight="1" thickTop="1" x14ac:dyDescent="0.3">
      <c r="A23" s="120">
        <v>1</v>
      </c>
      <c r="B23" s="82" t="s">
        <v>50</v>
      </c>
      <c r="C23" s="81"/>
      <c r="D23" s="10"/>
      <c r="E23" s="37"/>
      <c r="F23" s="10">
        <v>0</v>
      </c>
      <c r="G23" s="10">
        <v>9025</v>
      </c>
      <c r="H23" s="10">
        <f>F23+G23</f>
        <v>9025</v>
      </c>
      <c r="I23" s="44" t="e">
        <f>G23/F23</f>
        <v>#DIV/0!</v>
      </c>
      <c r="J23" s="46">
        <f>H23*J8</f>
        <v>902.5</v>
      </c>
      <c r="K23" s="47">
        <f>H23*K8</f>
        <v>1805</v>
      </c>
      <c r="L23" s="48">
        <f>H23*L8</f>
        <v>2256.25</v>
      </c>
      <c r="M23" s="92">
        <f>H23*M8</f>
        <v>2707.5</v>
      </c>
      <c r="N23" s="47">
        <f>H23*N8</f>
        <v>3158.75</v>
      </c>
      <c r="O23" s="47">
        <f>H23*O8</f>
        <v>3610</v>
      </c>
      <c r="P23" s="46">
        <f>H23*P8</f>
        <v>4512.5</v>
      </c>
      <c r="Q23" s="47">
        <f>H23*Q8</f>
        <v>5415</v>
      </c>
      <c r="R23" s="48">
        <f>H23*R8</f>
        <v>6317.5</v>
      </c>
      <c r="S23" s="47">
        <f>H23*S8</f>
        <v>7220</v>
      </c>
      <c r="T23" s="47">
        <f>H23*T8</f>
        <v>8122.5</v>
      </c>
      <c r="U23" s="10">
        <f>H23*U8</f>
        <v>9025</v>
      </c>
      <c r="V23" s="12"/>
      <c r="W23" s="13"/>
      <c r="Z23" s="15"/>
      <c r="AA23" s="15"/>
      <c r="AB23" s="15"/>
    </row>
    <row r="24" spans="1:28" s="14" customFormat="1" ht="51" customHeight="1" x14ac:dyDescent="0.3">
      <c r="A24" s="121"/>
      <c r="B24" s="82" t="s">
        <v>51</v>
      </c>
      <c r="C24" s="81"/>
      <c r="D24" s="10"/>
      <c r="E24" s="37"/>
      <c r="F24" s="10">
        <v>4696</v>
      </c>
      <c r="G24" s="10">
        <v>13994</v>
      </c>
      <c r="H24" s="10">
        <f t="shared" ref="H24:H32" si="5">F24+G24</f>
        <v>18690</v>
      </c>
      <c r="I24" s="44">
        <f>G24/F24</f>
        <v>2.9799829642248721</v>
      </c>
      <c r="J24" s="46">
        <f>H24*J8</f>
        <v>1869</v>
      </c>
      <c r="K24" s="47">
        <f>H24*K8</f>
        <v>3738</v>
      </c>
      <c r="L24" s="48">
        <f>H24*L8</f>
        <v>4672.5</v>
      </c>
      <c r="M24" s="92">
        <f>H24*M8</f>
        <v>5607</v>
      </c>
      <c r="N24" s="47">
        <f>H24*N8</f>
        <v>6541.5</v>
      </c>
      <c r="O24" s="47">
        <f>H24*O8</f>
        <v>7476</v>
      </c>
      <c r="P24" s="46">
        <f>H24*P8</f>
        <v>9345</v>
      </c>
      <c r="Q24" s="47">
        <f>H24*Q8</f>
        <v>11214</v>
      </c>
      <c r="R24" s="48">
        <f>H24*R8</f>
        <v>13083</v>
      </c>
      <c r="S24" s="47">
        <f>H24*S8</f>
        <v>14952</v>
      </c>
      <c r="T24" s="47">
        <f>H24*T8</f>
        <v>16821</v>
      </c>
      <c r="U24" s="10">
        <f>H24*U8</f>
        <v>18690</v>
      </c>
      <c r="V24" s="12"/>
      <c r="W24" s="13"/>
      <c r="Z24" s="15"/>
      <c r="AA24" s="15"/>
      <c r="AB24" s="15"/>
    </row>
    <row r="25" spans="1:28" s="14" customFormat="1" ht="51" customHeight="1" x14ac:dyDescent="0.3">
      <c r="A25" s="121"/>
      <c r="B25" s="82" t="s">
        <v>52</v>
      </c>
      <c r="C25" s="81"/>
      <c r="D25" s="10"/>
      <c r="E25" s="37"/>
      <c r="F25" s="10">
        <v>833</v>
      </c>
      <c r="G25" s="10">
        <v>9125</v>
      </c>
      <c r="H25" s="10">
        <f t="shared" si="5"/>
        <v>9958</v>
      </c>
      <c r="I25" s="44">
        <f t="shared" ref="I25:I32" si="6">G25/F25</f>
        <v>10.95438175270108</v>
      </c>
      <c r="J25" s="46">
        <f>H25*J8</f>
        <v>995.80000000000007</v>
      </c>
      <c r="K25" s="47">
        <f>H25*K8</f>
        <v>1991.6000000000001</v>
      </c>
      <c r="L25" s="48">
        <f>H25*L8</f>
        <v>2489.5</v>
      </c>
      <c r="M25" s="92">
        <f>H25*M8</f>
        <v>2987.4</v>
      </c>
      <c r="N25" s="47">
        <f>H25*N8</f>
        <v>3485.2999999999997</v>
      </c>
      <c r="O25" s="47">
        <f>H25*O8</f>
        <v>3983.2000000000003</v>
      </c>
      <c r="P25" s="46">
        <f>H25*P8</f>
        <v>4979</v>
      </c>
      <c r="Q25" s="47">
        <f>H25*Q8</f>
        <v>5974.8</v>
      </c>
      <c r="R25" s="48">
        <f>H25*R8</f>
        <v>6970.5999999999995</v>
      </c>
      <c r="S25" s="47">
        <f>H25*S8</f>
        <v>7966.4000000000005</v>
      </c>
      <c r="T25" s="47">
        <f>H25*T8</f>
        <v>8962.2000000000007</v>
      </c>
      <c r="U25" s="10">
        <f>H25*U8</f>
        <v>9958</v>
      </c>
      <c r="V25" s="12"/>
      <c r="W25" s="13"/>
      <c r="Z25" s="15"/>
      <c r="AA25" s="15"/>
      <c r="AB25" s="15"/>
    </row>
    <row r="26" spans="1:28" s="14" customFormat="1" ht="51" customHeight="1" x14ac:dyDescent="0.3">
      <c r="A26" s="121"/>
      <c r="B26" s="82" t="s">
        <v>53</v>
      </c>
      <c r="C26" s="81"/>
      <c r="D26" s="10"/>
      <c r="E26" s="37"/>
      <c r="F26" s="10">
        <v>71</v>
      </c>
      <c r="G26" s="10">
        <v>1788</v>
      </c>
      <c r="H26" s="10">
        <f t="shared" si="5"/>
        <v>1859</v>
      </c>
      <c r="I26" s="44">
        <f t="shared" si="6"/>
        <v>25.183098591549296</v>
      </c>
      <c r="J26" s="46">
        <f>H26*J8</f>
        <v>185.9</v>
      </c>
      <c r="K26" s="47">
        <f>H26*K8</f>
        <v>371.8</v>
      </c>
      <c r="L26" s="48">
        <f>H26*L8</f>
        <v>464.75</v>
      </c>
      <c r="M26" s="92">
        <f>H26*M8</f>
        <v>557.69999999999993</v>
      </c>
      <c r="N26" s="47">
        <f>H26*N8</f>
        <v>650.65</v>
      </c>
      <c r="O26" s="47">
        <f>H26*O8</f>
        <v>743.6</v>
      </c>
      <c r="P26" s="46">
        <f>H26*P8</f>
        <v>929.5</v>
      </c>
      <c r="Q26" s="47">
        <f>H26*Q8</f>
        <v>1115.3999999999999</v>
      </c>
      <c r="R26" s="48">
        <f>H26*R8</f>
        <v>1301.3</v>
      </c>
      <c r="S26" s="47">
        <f>H26*S8</f>
        <v>1487.2</v>
      </c>
      <c r="T26" s="47">
        <f>H26*T8</f>
        <v>1673.1000000000001</v>
      </c>
      <c r="U26" s="10">
        <f>H26*U8</f>
        <v>1859</v>
      </c>
      <c r="V26" s="12"/>
      <c r="W26" s="13"/>
      <c r="Z26" s="15"/>
      <c r="AA26" s="15"/>
      <c r="AB26" s="15"/>
    </row>
    <row r="27" spans="1:28" s="14" customFormat="1" ht="51" customHeight="1" x14ac:dyDescent="0.3">
      <c r="A27" s="121"/>
      <c r="B27" s="82" t="s">
        <v>55</v>
      </c>
      <c r="C27" s="81"/>
      <c r="D27" s="10"/>
      <c r="E27" s="37"/>
      <c r="F27" s="10">
        <v>82</v>
      </c>
      <c r="G27" s="10">
        <v>4020</v>
      </c>
      <c r="H27" s="10">
        <f t="shared" si="5"/>
        <v>4102</v>
      </c>
      <c r="I27" s="44">
        <f t="shared" si="6"/>
        <v>49.024390243902438</v>
      </c>
      <c r="J27" s="46">
        <f>H27*J8</f>
        <v>410.20000000000005</v>
      </c>
      <c r="K27" s="47">
        <f>H27*K8</f>
        <v>820.40000000000009</v>
      </c>
      <c r="L27" s="48">
        <f>H27*L8</f>
        <v>1025.5</v>
      </c>
      <c r="M27" s="92">
        <f>H27*M8</f>
        <v>1230.5999999999999</v>
      </c>
      <c r="N27" s="47">
        <f>H27*N8</f>
        <v>1435.6999999999998</v>
      </c>
      <c r="O27" s="47">
        <f>H27*O8</f>
        <v>1640.8000000000002</v>
      </c>
      <c r="P27" s="46">
        <f>H27*P8</f>
        <v>2051</v>
      </c>
      <c r="Q27" s="47">
        <f>H27*Q8</f>
        <v>2461.1999999999998</v>
      </c>
      <c r="R27" s="48">
        <f>H27*R8</f>
        <v>2871.3999999999996</v>
      </c>
      <c r="S27" s="47">
        <f>H27*S8</f>
        <v>3281.6000000000004</v>
      </c>
      <c r="T27" s="47">
        <f>H27*T8</f>
        <v>3691.8</v>
      </c>
      <c r="U27" s="10">
        <f>H27*U8</f>
        <v>4102</v>
      </c>
      <c r="V27" s="12"/>
      <c r="W27" s="13"/>
      <c r="Z27" s="15"/>
      <c r="AA27" s="15"/>
      <c r="AB27" s="15"/>
    </row>
    <row r="28" spans="1:28" s="14" customFormat="1" ht="51" customHeight="1" x14ac:dyDescent="0.3">
      <c r="A28" s="121"/>
      <c r="B28" s="82" t="s">
        <v>54</v>
      </c>
      <c r="C28" s="81"/>
      <c r="D28" s="10"/>
      <c r="E28" s="37"/>
      <c r="F28" s="10">
        <v>19</v>
      </c>
      <c r="G28" s="10">
        <v>2939</v>
      </c>
      <c r="H28" s="10">
        <f t="shared" si="5"/>
        <v>2958</v>
      </c>
      <c r="I28" s="44">
        <f t="shared" si="6"/>
        <v>154.68421052631578</v>
      </c>
      <c r="J28" s="46">
        <f>H28*J8</f>
        <v>295.8</v>
      </c>
      <c r="K28" s="47">
        <f>H28*K8</f>
        <v>591.6</v>
      </c>
      <c r="L28" s="48">
        <f>H28*L8</f>
        <v>739.5</v>
      </c>
      <c r="M28" s="92">
        <f>H28*M8</f>
        <v>887.4</v>
      </c>
      <c r="N28" s="47">
        <f>H28*N8</f>
        <v>1035.3</v>
      </c>
      <c r="O28" s="47">
        <f>H28*O8</f>
        <v>1183.2</v>
      </c>
      <c r="P28" s="46">
        <f>H28*P8</f>
        <v>1479</v>
      </c>
      <c r="Q28" s="47">
        <f>H28*Q8</f>
        <v>1774.8</v>
      </c>
      <c r="R28" s="48">
        <f>H28*R8</f>
        <v>2070.6</v>
      </c>
      <c r="S28" s="47">
        <f>H28*S8</f>
        <v>2366.4</v>
      </c>
      <c r="T28" s="47">
        <f>H28*T8</f>
        <v>2662.2000000000003</v>
      </c>
      <c r="U28" s="10">
        <f>H28*U8</f>
        <v>2958</v>
      </c>
      <c r="V28" s="12"/>
      <c r="W28" s="13"/>
      <c r="Z28" s="15"/>
      <c r="AA28" s="15"/>
      <c r="AB28" s="15"/>
    </row>
    <row r="29" spans="1:28" s="14" customFormat="1" ht="51" customHeight="1" x14ac:dyDescent="0.3">
      <c r="A29" s="121"/>
      <c r="B29" s="82" t="s">
        <v>59</v>
      </c>
      <c r="C29" s="81"/>
      <c r="D29" s="10"/>
      <c r="E29" s="37"/>
      <c r="F29" s="10">
        <v>81</v>
      </c>
      <c r="G29" s="10">
        <v>4355</v>
      </c>
      <c r="H29" s="10">
        <f t="shared" si="5"/>
        <v>4436</v>
      </c>
      <c r="I29" s="44">
        <f t="shared" si="6"/>
        <v>53.76543209876543</v>
      </c>
      <c r="J29" s="46">
        <f>H29*J8</f>
        <v>443.6</v>
      </c>
      <c r="K29" s="47">
        <f>H29*K8</f>
        <v>887.2</v>
      </c>
      <c r="L29" s="48">
        <f>H29*L8</f>
        <v>1109</v>
      </c>
      <c r="M29" s="92">
        <f>H29*M8</f>
        <v>1330.8</v>
      </c>
      <c r="N29" s="47">
        <f>H29*N8</f>
        <v>1552.6</v>
      </c>
      <c r="O29" s="47">
        <f>H29*O8</f>
        <v>1774.4</v>
      </c>
      <c r="P29" s="46">
        <f>H29*P8</f>
        <v>2218</v>
      </c>
      <c r="Q29" s="47">
        <f>H29*Q8</f>
        <v>2661.6</v>
      </c>
      <c r="R29" s="48">
        <f>H29*R8</f>
        <v>3105.2</v>
      </c>
      <c r="S29" s="47">
        <f>H29*S8</f>
        <v>3548.8</v>
      </c>
      <c r="T29" s="47">
        <f>H29*T8</f>
        <v>3992.4</v>
      </c>
      <c r="U29" s="10">
        <f>H29*U8</f>
        <v>4436</v>
      </c>
      <c r="V29" s="12"/>
      <c r="Z29" s="15"/>
      <c r="AA29" s="15"/>
      <c r="AB29" s="15"/>
    </row>
    <row r="30" spans="1:28" s="14" customFormat="1" ht="51" customHeight="1" x14ac:dyDescent="0.3">
      <c r="A30" s="121"/>
      <c r="B30" s="82" t="s">
        <v>60</v>
      </c>
      <c r="C30" s="81"/>
      <c r="D30" s="10"/>
      <c r="E30" s="37"/>
      <c r="F30" s="10">
        <v>19</v>
      </c>
      <c r="G30" s="10">
        <v>20</v>
      </c>
      <c r="H30" s="10">
        <f t="shared" si="5"/>
        <v>39</v>
      </c>
      <c r="I30" s="44">
        <f t="shared" si="6"/>
        <v>1.0526315789473684</v>
      </c>
      <c r="J30" s="46">
        <f>H30*J8</f>
        <v>3.9000000000000004</v>
      </c>
      <c r="K30" s="47">
        <f>H30*K8</f>
        <v>7.8000000000000007</v>
      </c>
      <c r="L30" s="48">
        <f>H30*L8</f>
        <v>9.75</v>
      </c>
      <c r="M30" s="92">
        <f>H30*M8</f>
        <v>11.7</v>
      </c>
      <c r="N30" s="47">
        <f>H30*N8</f>
        <v>13.649999999999999</v>
      </c>
      <c r="O30" s="47">
        <f>H30*O8</f>
        <v>15.600000000000001</v>
      </c>
      <c r="P30" s="46">
        <f>H30*P8</f>
        <v>19.5</v>
      </c>
      <c r="Q30" s="47">
        <f>H30*Q8</f>
        <v>23.4</v>
      </c>
      <c r="R30" s="48">
        <f>H30*R8</f>
        <v>27.299999999999997</v>
      </c>
      <c r="S30" s="47">
        <f>H30*S8</f>
        <v>31.200000000000003</v>
      </c>
      <c r="T30" s="47">
        <f>H30*T8</f>
        <v>35.1</v>
      </c>
      <c r="U30" s="10">
        <f>H30*U8</f>
        <v>39</v>
      </c>
      <c r="V30" s="12"/>
      <c r="Z30" s="15"/>
      <c r="AA30" s="15"/>
      <c r="AB30" s="15"/>
    </row>
    <row r="31" spans="1:28" s="14" customFormat="1" ht="51" customHeight="1" x14ac:dyDescent="0.3">
      <c r="A31" s="121"/>
      <c r="B31" s="84" t="s">
        <v>58</v>
      </c>
      <c r="C31" s="81"/>
      <c r="D31" s="10"/>
      <c r="E31" s="37"/>
      <c r="F31" s="10"/>
      <c r="G31" s="10">
        <v>12</v>
      </c>
      <c r="H31" s="10">
        <f t="shared" si="5"/>
        <v>12</v>
      </c>
      <c r="I31" s="44" t="e">
        <f t="shared" si="6"/>
        <v>#DIV/0!</v>
      </c>
      <c r="J31" s="46">
        <f>H31*J8</f>
        <v>1.2000000000000002</v>
      </c>
      <c r="K31" s="47">
        <f>H31*K8</f>
        <v>2.4000000000000004</v>
      </c>
      <c r="L31" s="48">
        <f>H31*L8</f>
        <v>3</v>
      </c>
      <c r="M31" s="92">
        <f>H31*M8</f>
        <v>3.5999999999999996</v>
      </c>
      <c r="N31" s="47">
        <f>H31*N8</f>
        <v>4.1999999999999993</v>
      </c>
      <c r="O31" s="47">
        <f>H31*O8</f>
        <v>4.8000000000000007</v>
      </c>
      <c r="P31" s="46">
        <f>H31*P8</f>
        <v>6</v>
      </c>
      <c r="Q31" s="47">
        <f>H31*Q8</f>
        <v>7.1999999999999993</v>
      </c>
      <c r="R31" s="48">
        <f>H31*R8</f>
        <v>8.3999999999999986</v>
      </c>
      <c r="S31" s="47">
        <f>H31*S8</f>
        <v>9.6000000000000014</v>
      </c>
      <c r="T31" s="47">
        <f>H31*T8</f>
        <v>10.8</v>
      </c>
      <c r="U31" s="10">
        <f>H31*U8</f>
        <v>12</v>
      </c>
      <c r="V31" s="12"/>
      <c r="W31" s="78"/>
      <c r="Z31" s="15"/>
      <c r="AA31" s="15"/>
      <c r="AB31" s="15"/>
    </row>
    <row r="32" spans="1:28" s="14" customFormat="1" ht="51" customHeight="1" thickBot="1" x14ac:dyDescent="0.35">
      <c r="A32" s="121"/>
      <c r="B32" s="84" t="s">
        <v>56</v>
      </c>
      <c r="C32" s="81"/>
      <c r="D32" s="10"/>
      <c r="E32" s="37"/>
      <c r="F32" s="10"/>
      <c r="G32" s="10">
        <v>120</v>
      </c>
      <c r="H32" s="10">
        <f t="shared" si="5"/>
        <v>120</v>
      </c>
      <c r="I32" s="44" t="e">
        <f t="shared" si="6"/>
        <v>#DIV/0!</v>
      </c>
      <c r="J32" s="46">
        <f>H32*J8</f>
        <v>12</v>
      </c>
      <c r="K32" s="47">
        <f>H32*K8</f>
        <v>24</v>
      </c>
      <c r="L32" s="48">
        <f>H32*L8</f>
        <v>30</v>
      </c>
      <c r="M32" s="92">
        <f>H32*M8</f>
        <v>36</v>
      </c>
      <c r="N32" s="47">
        <f>H32*N8</f>
        <v>42</v>
      </c>
      <c r="O32" s="47">
        <f>H32*O8</f>
        <v>48</v>
      </c>
      <c r="P32" s="46">
        <f>H32*P8</f>
        <v>60</v>
      </c>
      <c r="Q32" s="47">
        <f>H32*Q8</f>
        <v>72</v>
      </c>
      <c r="R32" s="48">
        <f>H32*R8</f>
        <v>84</v>
      </c>
      <c r="S32" s="47">
        <f>H32*S8</f>
        <v>96</v>
      </c>
      <c r="T32" s="47">
        <f>H32*T8</f>
        <v>108</v>
      </c>
      <c r="U32" s="10">
        <f>H32*U8</f>
        <v>120</v>
      </c>
      <c r="V32" s="12"/>
      <c r="Z32" s="15"/>
      <c r="AA32" s="15"/>
      <c r="AB32" s="15"/>
    </row>
    <row r="33" spans="1:28" s="7" customFormat="1" ht="54.65" customHeight="1" thickTop="1" thickBot="1" x14ac:dyDescent="0.35">
      <c r="A33" s="115" t="s">
        <v>40</v>
      </c>
      <c r="B33" s="116"/>
      <c r="C33" s="67"/>
      <c r="D33" s="68"/>
      <c r="E33" s="68"/>
      <c r="F33" s="68">
        <f>SUM(F34:F34)</f>
        <v>33</v>
      </c>
      <c r="G33" s="67">
        <f>SUM(G34:G34)</f>
        <v>967</v>
      </c>
      <c r="H33" s="68">
        <f>G33+F33</f>
        <v>1000</v>
      </c>
      <c r="I33" s="70"/>
      <c r="J33" s="76">
        <f>J34</f>
        <v>100</v>
      </c>
      <c r="K33" s="76">
        <f t="shared" ref="K33:U33" si="7">K34</f>
        <v>200</v>
      </c>
      <c r="L33" s="76">
        <f t="shared" si="7"/>
        <v>250</v>
      </c>
      <c r="M33" s="76">
        <f t="shared" si="7"/>
        <v>300</v>
      </c>
      <c r="N33" s="76">
        <f t="shared" si="7"/>
        <v>350</v>
      </c>
      <c r="O33" s="76">
        <f t="shared" si="7"/>
        <v>400</v>
      </c>
      <c r="P33" s="76">
        <f t="shared" si="7"/>
        <v>500</v>
      </c>
      <c r="Q33" s="76">
        <f t="shared" si="7"/>
        <v>600</v>
      </c>
      <c r="R33" s="76">
        <f t="shared" si="7"/>
        <v>700</v>
      </c>
      <c r="S33" s="76">
        <f t="shared" si="7"/>
        <v>800</v>
      </c>
      <c r="T33" s="76">
        <f t="shared" si="7"/>
        <v>900</v>
      </c>
      <c r="U33" s="76">
        <f t="shared" si="7"/>
        <v>1000</v>
      </c>
      <c r="Z33" s="8"/>
      <c r="AA33" s="8"/>
      <c r="AB33" s="8"/>
    </row>
    <row r="34" spans="1:28" s="14" customFormat="1" ht="51" customHeight="1" thickTop="1" thickBot="1" x14ac:dyDescent="0.35">
      <c r="A34" s="35">
        <v>1.2</v>
      </c>
      <c r="B34" s="21" t="s">
        <v>22</v>
      </c>
      <c r="C34" s="22"/>
      <c r="D34" s="23"/>
      <c r="E34" s="23"/>
      <c r="F34" s="24">
        <v>33</v>
      </c>
      <c r="G34" s="22">
        <v>967</v>
      </c>
      <c r="H34" s="23">
        <f>G34+F34</f>
        <v>1000</v>
      </c>
      <c r="I34" s="96">
        <f>G34/F34</f>
        <v>29.303030303030305</v>
      </c>
      <c r="J34" s="52">
        <f>H34*J8</f>
        <v>100</v>
      </c>
      <c r="K34" s="53">
        <f>H34*K8</f>
        <v>200</v>
      </c>
      <c r="L34" s="24">
        <f>H34*L8</f>
        <v>250</v>
      </c>
      <c r="M34" s="93">
        <f>H34*M8</f>
        <v>300</v>
      </c>
      <c r="N34" s="53">
        <f>H34*N8</f>
        <v>350</v>
      </c>
      <c r="O34" s="53">
        <f>H34*O8</f>
        <v>400</v>
      </c>
      <c r="P34" s="52">
        <f>H34*P8</f>
        <v>500</v>
      </c>
      <c r="Q34" s="53">
        <f>H34*Q8</f>
        <v>600</v>
      </c>
      <c r="R34" s="24">
        <f>H34*R8</f>
        <v>700</v>
      </c>
      <c r="S34" s="53">
        <f>H34*S8</f>
        <v>800</v>
      </c>
      <c r="T34" s="53">
        <f>H34*T8</f>
        <v>900</v>
      </c>
      <c r="U34" s="23">
        <f>H34*U8</f>
        <v>1000</v>
      </c>
      <c r="V34" s="12"/>
      <c r="Z34" s="15"/>
      <c r="AA34" s="15"/>
      <c r="AB34" s="15"/>
    </row>
    <row r="35" spans="1:28" s="7" customFormat="1" ht="54.65" customHeight="1" thickTop="1" thickBot="1" x14ac:dyDescent="0.35">
      <c r="A35" s="115" t="s">
        <v>41</v>
      </c>
      <c r="B35" s="116"/>
      <c r="C35" s="67"/>
      <c r="D35" s="68"/>
      <c r="E35" s="68"/>
      <c r="F35" s="68"/>
      <c r="G35" s="67"/>
      <c r="H35" s="68"/>
      <c r="I35" s="70"/>
      <c r="J35" s="76">
        <f>J36</f>
        <v>37198380.831</v>
      </c>
      <c r="K35" s="76">
        <f t="shared" ref="K35:U35" si="8">K36</f>
        <v>74396761.662</v>
      </c>
      <c r="L35" s="76">
        <f t="shared" si="8"/>
        <v>92995952.077500001</v>
      </c>
      <c r="M35" s="76">
        <f t="shared" si="8"/>
        <v>111595142.493</v>
      </c>
      <c r="N35" s="76">
        <f t="shared" si="8"/>
        <v>130194332.90849999</v>
      </c>
      <c r="O35" s="76">
        <f t="shared" si="8"/>
        <v>148793523.324</v>
      </c>
      <c r="P35" s="76">
        <f t="shared" si="8"/>
        <v>185991904.155</v>
      </c>
      <c r="Q35" s="76">
        <f t="shared" si="8"/>
        <v>223190284.986</v>
      </c>
      <c r="R35" s="76">
        <f t="shared" si="8"/>
        <v>260388665.81699997</v>
      </c>
      <c r="S35" s="76">
        <f t="shared" si="8"/>
        <v>297587046.648</v>
      </c>
      <c r="T35" s="76">
        <f t="shared" si="8"/>
        <v>334785427.47900003</v>
      </c>
      <c r="U35" s="76">
        <f t="shared" si="8"/>
        <v>371983808.31</v>
      </c>
      <c r="Z35" s="8"/>
      <c r="AA35" s="8"/>
      <c r="AB35" s="8"/>
    </row>
    <row r="36" spans="1:28" s="14" customFormat="1" ht="51" customHeight="1" thickTop="1" thickBot="1" x14ac:dyDescent="0.35">
      <c r="A36" s="36">
        <v>1.3</v>
      </c>
      <c r="B36" s="16" t="s">
        <v>30</v>
      </c>
      <c r="C36" s="17"/>
      <c r="D36" s="18"/>
      <c r="E36" s="18"/>
      <c r="F36" s="19">
        <f>F9+F10+F11+F12+F13+F14+F15+F17+F18+F19+F20</f>
        <v>31783808.310000002</v>
      </c>
      <c r="G36" s="17">
        <f>G9+G10+G11+G12+G13+G14+G15+G17+G18+G19+G20</f>
        <v>340200000</v>
      </c>
      <c r="H36" s="18">
        <f>F36+G36</f>
        <v>371983808.31</v>
      </c>
      <c r="I36" s="96">
        <f>G36/F36</f>
        <v>10.703563169079532</v>
      </c>
      <c r="J36" s="49">
        <f>H36*J8</f>
        <v>37198380.831</v>
      </c>
      <c r="K36" s="20">
        <f>H36*K8</f>
        <v>74396761.662</v>
      </c>
      <c r="L36" s="51">
        <f>H36*L8</f>
        <v>92995952.077500001</v>
      </c>
      <c r="M36" s="94">
        <f>H36*M8</f>
        <v>111595142.493</v>
      </c>
      <c r="N36" s="20">
        <f>H36*N8</f>
        <v>130194332.90849999</v>
      </c>
      <c r="O36" s="50">
        <f>H36*O8</f>
        <v>148793523.324</v>
      </c>
      <c r="P36" s="49">
        <f>H36*P8</f>
        <v>185991904.155</v>
      </c>
      <c r="Q36" s="50">
        <f>H36*Q8</f>
        <v>223190284.986</v>
      </c>
      <c r="R36" s="51">
        <f>H36*R8</f>
        <v>260388665.81699997</v>
      </c>
      <c r="S36" s="50">
        <f>H36*S8</f>
        <v>297587046.648</v>
      </c>
      <c r="T36" s="50">
        <f>H36*T8</f>
        <v>334785427.47900003</v>
      </c>
      <c r="U36" s="20">
        <f>H36*U8</f>
        <v>371983808.31</v>
      </c>
      <c r="Z36" s="15"/>
      <c r="AA36" s="15"/>
      <c r="AB36" s="15"/>
    </row>
    <row r="37" spans="1:28" s="7" customFormat="1" ht="54.65" customHeight="1" thickTop="1" thickBot="1" x14ac:dyDescent="0.35">
      <c r="A37" s="115" t="s">
        <v>31</v>
      </c>
      <c r="B37" s="116"/>
      <c r="C37" s="67"/>
      <c r="D37" s="68"/>
      <c r="E37" s="68"/>
      <c r="F37" s="68"/>
      <c r="G37" s="67"/>
      <c r="H37" s="68"/>
      <c r="I37" s="70"/>
      <c r="J37" s="76">
        <f>J38+J39</f>
        <v>35919015.600000001</v>
      </c>
      <c r="K37" s="76">
        <f>K38+K39</f>
        <v>71838031.200000003</v>
      </c>
      <c r="L37" s="76">
        <f t="shared" ref="L37:U37" si="9">L38</f>
        <v>86047539</v>
      </c>
      <c r="M37" s="76">
        <f t="shared" si="9"/>
        <v>103257046.8</v>
      </c>
      <c r="N37" s="76">
        <f t="shared" si="9"/>
        <v>120466554.59999999</v>
      </c>
      <c r="O37" s="76">
        <f t="shared" si="9"/>
        <v>137676062.40000001</v>
      </c>
      <c r="P37" s="76">
        <f t="shared" si="9"/>
        <v>172095078</v>
      </c>
      <c r="Q37" s="76">
        <f t="shared" si="9"/>
        <v>206514093.59999999</v>
      </c>
      <c r="R37" s="76">
        <f t="shared" si="9"/>
        <v>240933109.19999999</v>
      </c>
      <c r="S37" s="76">
        <f t="shared" si="9"/>
        <v>275352124.80000001</v>
      </c>
      <c r="T37" s="76">
        <f t="shared" si="9"/>
        <v>309771140.40000004</v>
      </c>
      <c r="U37" s="76">
        <f t="shared" si="9"/>
        <v>344190156</v>
      </c>
      <c r="Z37" s="8"/>
      <c r="AA37" s="8"/>
      <c r="AB37" s="8"/>
    </row>
    <row r="38" spans="1:28" s="14" customFormat="1" ht="51" customHeight="1" thickTop="1" x14ac:dyDescent="0.55000000000000004">
      <c r="A38" s="117">
        <v>2</v>
      </c>
      <c r="B38" s="21" t="s">
        <v>23</v>
      </c>
      <c r="C38" s="38"/>
      <c r="D38" s="39"/>
      <c r="E38" s="23"/>
      <c r="F38" s="24">
        <v>20190156</v>
      </c>
      <c r="G38" s="22">
        <v>324000000</v>
      </c>
      <c r="H38" s="23">
        <f>F38+G38</f>
        <v>344190156</v>
      </c>
      <c r="I38" s="96">
        <f>G38/F38</f>
        <v>16.047424299247613</v>
      </c>
      <c r="J38" s="52">
        <f>H38*J8</f>
        <v>34419015.600000001</v>
      </c>
      <c r="K38" s="53">
        <f>H38*K8</f>
        <v>68838031.200000003</v>
      </c>
      <c r="L38" s="54">
        <f>H38*L8</f>
        <v>86047539</v>
      </c>
      <c r="M38" s="93">
        <f>H38*M8</f>
        <v>103257046.8</v>
      </c>
      <c r="N38" s="53">
        <f>H38*N8</f>
        <v>120466554.59999999</v>
      </c>
      <c r="O38" s="53">
        <f>H38*O8</f>
        <v>137676062.40000001</v>
      </c>
      <c r="P38" s="52">
        <f>H38*P8</f>
        <v>172095078</v>
      </c>
      <c r="Q38" s="53">
        <f>H38*Q8</f>
        <v>206514093.59999999</v>
      </c>
      <c r="R38" s="54">
        <f>H38*R8</f>
        <v>240933109.19999999</v>
      </c>
      <c r="S38" s="53">
        <f>H38*S8</f>
        <v>275352124.80000001</v>
      </c>
      <c r="T38" s="53">
        <f>H38*T8</f>
        <v>309771140.40000004</v>
      </c>
      <c r="U38" s="23">
        <f>H38*U8</f>
        <v>344190156</v>
      </c>
      <c r="V38" s="12"/>
      <c r="Z38" s="15"/>
      <c r="AA38" s="15"/>
      <c r="AB38" s="15"/>
    </row>
    <row r="39" spans="1:28" s="14" customFormat="1" ht="51" customHeight="1" thickBot="1" x14ac:dyDescent="0.35">
      <c r="A39" s="117"/>
      <c r="B39" s="25" t="s">
        <v>24</v>
      </c>
      <c r="C39" s="26"/>
      <c r="D39" s="27"/>
      <c r="E39" s="27"/>
      <c r="F39" s="28"/>
      <c r="G39" s="26">
        <v>15000000</v>
      </c>
      <c r="H39" s="27">
        <f>G39</f>
        <v>15000000</v>
      </c>
      <c r="I39" s="11" t="e">
        <f>G39/F39</f>
        <v>#DIV/0!</v>
      </c>
      <c r="J39" s="26">
        <f>H39*J8</f>
        <v>1500000</v>
      </c>
      <c r="K39" s="27">
        <f>H39*K8</f>
        <v>3000000</v>
      </c>
      <c r="L39" s="28">
        <f>H39*L8</f>
        <v>3750000</v>
      </c>
      <c r="M39" s="95">
        <f>H39*M8</f>
        <v>4500000</v>
      </c>
      <c r="N39" s="27">
        <f>H39*N8</f>
        <v>5250000</v>
      </c>
      <c r="O39" s="27">
        <f>H39*O8</f>
        <v>6000000</v>
      </c>
      <c r="P39" s="26">
        <f>H39*P8</f>
        <v>7500000</v>
      </c>
      <c r="Q39" s="27">
        <f>H39*Q8</f>
        <v>9000000</v>
      </c>
      <c r="R39" s="28">
        <f>H39*R8</f>
        <v>10500000</v>
      </c>
      <c r="S39" s="27">
        <f>H39*S8</f>
        <v>12000000</v>
      </c>
      <c r="T39" s="27">
        <f>H39*T8</f>
        <v>13500000</v>
      </c>
      <c r="U39" s="27">
        <f>H39*U8</f>
        <v>15000000</v>
      </c>
      <c r="V39" s="12"/>
      <c r="Z39" s="15"/>
      <c r="AA39" s="15"/>
      <c r="AB39" s="15"/>
    </row>
    <row r="40" spans="1:28" s="7" customFormat="1" ht="54.65" customHeight="1" thickTop="1" thickBot="1" x14ac:dyDescent="0.35">
      <c r="A40" s="115" t="s">
        <v>25</v>
      </c>
      <c r="B40" s="116"/>
      <c r="C40" s="71">
        <v>0</v>
      </c>
      <c r="D40" s="72">
        <v>0</v>
      </c>
      <c r="E40" s="72">
        <v>0</v>
      </c>
      <c r="F40" s="72">
        <v>0</v>
      </c>
      <c r="G40" s="71">
        <v>0</v>
      </c>
      <c r="H40" s="72">
        <v>0</v>
      </c>
      <c r="I40" s="73"/>
      <c r="J40" s="71"/>
      <c r="K40" s="72"/>
      <c r="L40" s="74"/>
      <c r="M40" s="97"/>
      <c r="N40" s="72"/>
      <c r="O40" s="72"/>
      <c r="P40" s="71"/>
      <c r="Q40" s="72"/>
      <c r="R40" s="74"/>
      <c r="S40" s="72"/>
      <c r="T40" s="72"/>
      <c r="U40" s="72"/>
      <c r="Z40" s="8"/>
      <c r="AA40" s="8"/>
      <c r="AB40" s="8"/>
    </row>
    <row r="41" spans="1:28" ht="41.5" customHeight="1" thickTop="1" x14ac:dyDescent="0.3">
      <c r="M41" s="33"/>
    </row>
    <row r="42" spans="1:28" ht="41.5" customHeight="1" x14ac:dyDescent="0.3">
      <c r="M42" s="33"/>
    </row>
    <row r="43" spans="1:28" ht="41.5" customHeight="1" x14ac:dyDescent="0.3">
      <c r="M43" s="33"/>
    </row>
    <row r="44" spans="1:28" ht="41.5" customHeight="1" x14ac:dyDescent="0.3">
      <c r="M44" s="33"/>
    </row>
    <row r="45" spans="1:28" ht="41.5" customHeight="1" x14ac:dyDescent="0.3">
      <c r="M45" s="33"/>
    </row>
    <row r="46" spans="1:28" ht="41.5" customHeight="1" x14ac:dyDescent="0.3">
      <c r="M46" s="33"/>
    </row>
    <row r="47" spans="1:28" ht="41.5" customHeight="1" x14ac:dyDescent="0.3">
      <c r="M47" s="33"/>
    </row>
    <row r="48" spans="1:28" ht="41.5" customHeight="1" x14ac:dyDescent="0.3">
      <c r="M48" s="33"/>
    </row>
    <row r="49" spans="13:13" ht="41.5" customHeight="1" x14ac:dyDescent="0.3">
      <c r="M49" s="33"/>
    </row>
    <row r="50" spans="13:13" ht="41.5" customHeight="1" x14ac:dyDescent="0.3">
      <c r="M50" s="33"/>
    </row>
    <row r="51" spans="13:13" ht="41.5" customHeight="1" x14ac:dyDescent="0.3">
      <c r="M51" s="33"/>
    </row>
    <row r="52" spans="13:13" ht="41.5" customHeight="1" x14ac:dyDescent="0.3">
      <c r="M52" s="33"/>
    </row>
    <row r="53" spans="13:13" ht="41.5" customHeight="1" x14ac:dyDescent="0.3">
      <c r="M53" s="33"/>
    </row>
    <row r="54" spans="13:13" ht="41.5" customHeight="1" x14ac:dyDescent="0.3">
      <c r="M54" s="33"/>
    </row>
    <row r="55" spans="13:13" ht="41.5" customHeight="1" x14ac:dyDescent="0.3">
      <c r="M55" s="33"/>
    </row>
    <row r="56" spans="13:13" ht="41.5" customHeight="1" x14ac:dyDescent="0.3">
      <c r="M56" s="33"/>
    </row>
    <row r="57" spans="13:13" ht="41.5" customHeight="1" x14ac:dyDescent="0.3">
      <c r="M57" s="33"/>
    </row>
    <row r="58" spans="13:13" ht="41.5" customHeight="1" x14ac:dyDescent="0.3">
      <c r="M58" s="33"/>
    </row>
    <row r="59" spans="13:13" ht="41.5" customHeight="1" x14ac:dyDescent="0.3">
      <c r="M59" s="33"/>
    </row>
    <row r="60" spans="13:13" ht="41.5" customHeight="1" x14ac:dyDescent="0.3">
      <c r="M60" s="33"/>
    </row>
    <row r="61" spans="13:13" ht="41.5" customHeight="1" x14ac:dyDescent="0.3">
      <c r="M61" s="33"/>
    </row>
    <row r="62" spans="13:13" ht="41.5" customHeight="1" x14ac:dyDescent="0.3">
      <c r="M62" s="33"/>
    </row>
    <row r="63" spans="13:13" ht="41.5" customHeight="1" x14ac:dyDescent="0.3">
      <c r="M63" s="33"/>
    </row>
    <row r="64" spans="13:13" ht="41.5" customHeight="1" x14ac:dyDescent="0.3">
      <c r="M64" s="33"/>
    </row>
    <row r="65" spans="13:13" ht="41.5" customHeight="1" x14ac:dyDescent="0.3">
      <c r="M65" s="33"/>
    </row>
    <row r="66" spans="13:13" ht="41.5" customHeight="1" x14ac:dyDescent="0.3">
      <c r="M66" s="33"/>
    </row>
    <row r="67" spans="13:13" ht="41.5" customHeight="1" x14ac:dyDescent="0.3">
      <c r="M67" s="33"/>
    </row>
    <row r="68" spans="13:13" ht="41.5" customHeight="1" x14ac:dyDescent="0.3">
      <c r="M68" s="33"/>
    </row>
    <row r="69" spans="13:13" ht="41.5" customHeight="1" x14ac:dyDescent="0.3">
      <c r="M69" s="33"/>
    </row>
    <row r="70" spans="13:13" ht="41.5" customHeight="1" x14ac:dyDescent="0.3">
      <c r="M70" s="33"/>
    </row>
    <row r="71" spans="13:13" ht="41.5" customHeight="1" x14ac:dyDescent="0.3">
      <c r="M71" s="33"/>
    </row>
    <row r="72" spans="13:13" ht="41.5" customHeight="1" x14ac:dyDescent="0.3">
      <c r="M72" s="33"/>
    </row>
    <row r="73" spans="13:13" ht="41.5" customHeight="1" x14ac:dyDescent="0.3">
      <c r="M73" s="33"/>
    </row>
    <row r="74" spans="13:13" ht="41.5" customHeight="1" x14ac:dyDescent="0.3">
      <c r="M74" s="33"/>
    </row>
    <row r="75" spans="13:13" ht="41.5" customHeight="1" x14ac:dyDescent="0.3">
      <c r="M75" s="33"/>
    </row>
    <row r="76" spans="13:13" ht="41.5" customHeight="1" x14ac:dyDescent="0.3">
      <c r="M76" s="33"/>
    </row>
    <row r="77" spans="13:13" ht="41.5" customHeight="1" x14ac:dyDescent="0.3">
      <c r="M77" s="33"/>
    </row>
    <row r="78" spans="13:13" ht="41.5" customHeight="1" x14ac:dyDescent="0.3">
      <c r="M78" s="33"/>
    </row>
    <row r="79" spans="13:13" ht="41.5" customHeight="1" x14ac:dyDescent="0.3">
      <c r="M79" s="33"/>
    </row>
    <row r="80" spans="13:13" ht="41.5" customHeight="1" x14ac:dyDescent="0.3">
      <c r="M80" s="33"/>
    </row>
    <row r="81" spans="13:13" ht="41.5" customHeight="1" x14ac:dyDescent="0.3">
      <c r="M81" s="33"/>
    </row>
    <row r="82" spans="13:13" ht="41.5" customHeight="1" x14ac:dyDescent="0.3">
      <c r="M82" s="33"/>
    </row>
    <row r="83" spans="13:13" ht="41.5" customHeight="1" x14ac:dyDescent="0.3">
      <c r="M83" s="33"/>
    </row>
    <row r="84" spans="13:13" ht="41.5" customHeight="1" x14ac:dyDescent="0.3">
      <c r="M84" s="33"/>
    </row>
    <row r="85" spans="13:13" ht="41.5" customHeight="1" x14ac:dyDescent="0.3">
      <c r="M85" s="33"/>
    </row>
    <row r="86" spans="13:13" ht="41.5" customHeight="1" x14ac:dyDescent="0.3">
      <c r="M86" s="33"/>
    </row>
    <row r="87" spans="13:13" ht="41.5" customHeight="1" x14ac:dyDescent="0.3">
      <c r="M87" s="33"/>
    </row>
    <row r="88" spans="13:13" ht="41.5" customHeight="1" x14ac:dyDescent="0.3">
      <c r="M88" s="33"/>
    </row>
    <row r="89" spans="13:13" ht="41.5" customHeight="1" x14ac:dyDescent="0.3">
      <c r="M89" s="33"/>
    </row>
    <row r="90" spans="13:13" ht="41.5" customHeight="1" x14ac:dyDescent="0.3">
      <c r="M90" s="33"/>
    </row>
    <row r="91" spans="13:13" ht="41.5" customHeight="1" x14ac:dyDescent="0.3">
      <c r="M91" s="33"/>
    </row>
    <row r="92" spans="13:13" ht="41.5" customHeight="1" x14ac:dyDescent="0.3">
      <c r="M92" s="33"/>
    </row>
    <row r="93" spans="13:13" ht="41.5" customHeight="1" x14ac:dyDescent="0.3">
      <c r="M93" s="33"/>
    </row>
    <row r="94" spans="13:13" ht="41.5" customHeight="1" x14ac:dyDescent="0.3">
      <c r="M94" s="33"/>
    </row>
    <row r="95" spans="13:13" ht="41.5" customHeight="1" x14ac:dyDescent="0.3">
      <c r="M95" s="33"/>
    </row>
    <row r="96" spans="13:13" ht="41.5" customHeight="1" x14ac:dyDescent="0.3">
      <c r="M96" s="33"/>
    </row>
    <row r="97" spans="13:13" ht="41.5" customHeight="1" x14ac:dyDescent="0.3">
      <c r="M97" s="33"/>
    </row>
    <row r="98" spans="13:13" ht="41.5" customHeight="1" x14ac:dyDescent="0.3">
      <c r="M98" s="33"/>
    </row>
    <row r="99" spans="13:13" ht="41.5" customHeight="1" x14ac:dyDescent="0.3">
      <c r="M99" s="33"/>
    </row>
    <row r="100" spans="13:13" ht="41.5" customHeight="1" x14ac:dyDescent="0.3">
      <c r="M100" s="33"/>
    </row>
    <row r="101" spans="13:13" ht="41.5" customHeight="1" x14ac:dyDescent="0.3">
      <c r="M101" s="33"/>
    </row>
    <row r="102" spans="13:13" ht="41.5" customHeight="1" x14ac:dyDescent="0.3">
      <c r="M102" s="33"/>
    </row>
    <row r="103" spans="13:13" ht="41.5" customHeight="1" x14ac:dyDescent="0.3">
      <c r="M103" s="33"/>
    </row>
    <row r="104" spans="13:13" ht="41.5" customHeight="1" x14ac:dyDescent="0.3">
      <c r="M104" s="33"/>
    </row>
    <row r="105" spans="13:13" ht="41.5" customHeight="1" x14ac:dyDescent="0.3">
      <c r="M105" s="33"/>
    </row>
    <row r="106" spans="13:13" ht="41.5" customHeight="1" x14ac:dyDescent="0.3">
      <c r="M106" s="33"/>
    </row>
    <row r="107" spans="13:13" ht="41.5" customHeight="1" x14ac:dyDescent="0.3">
      <c r="M107" s="33"/>
    </row>
    <row r="108" spans="13:13" ht="41.5" customHeight="1" x14ac:dyDescent="0.3">
      <c r="M108" s="33"/>
    </row>
    <row r="109" spans="13:13" ht="41.5" customHeight="1" x14ac:dyDescent="0.3">
      <c r="M109" s="33"/>
    </row>
    <row r="110" spans="13:13" ht="41.5" customHeight="1" x14ac:dyDescent="0.3">
      <c r="M110" s="33"/>
    </row>
    <row r="111" spans="13:13" ht="41.5" customHeight="1" x14ac:dyDescent="0.3">
      <c r="M111" s="33"/>
    </row>
    <row r="112" spans="13:13" ht="41.5" customHeight="1" x14ac:dyDescent="0.3">
      <c r="M112" s="33"/>
    </row>
    <row r="113" spans="13:13" ht="41.5" customHeight="1" x14ac:dyDescent="0.3">
      <c r="M113" s="33"/>
    </row>
    <row r="114" spans="13:13" ht="41.5" customHeight="1" x14ac:dyDescent="0.3">
      <c r="M114" s="33"/>
    </row>
    <row r="115" spans="13:13" ht="41.5" customHeight="1" x14ac:dyDescent="0.3">
      <c r="M115" s="33"/>
    </row>
    <row r="116" spans="13:13" ht="41.5" customHeight="1" x14ac:dyDescent="0.3">
      <c r="M116" s="33"/>
    </row>
    <row r="117" spans="13:13" ht="41.5" customHeight="1" x14ac:dyDescent="0.3">
      <c r="M117" s="33"/>
    </row>
    <row r="118" spans="13:13" ht="41.5" customHeight="1" x14ac:dyDescent="0.3">
      <c r="M118" s="33"/>
    </row>
    <row r="119" spans="13:13" ht="41.5" customHeight="1" x14ac:dyDescent="0.3">
      <c r="M119" s="33"/>
    </row>
    <row r="120" spans="13:13" ht="41.5" customHeight="1" x14ac:dyDescent="0.3">
      <c r="M120" s="33"/>
    </row>
    <row r="121" spans="13:13" ht="41.5" customHeight="1" x14ac:dyDescent="0.3">
      <c r="M121" s="33"/>
    </row>
    <row r="122" spans="13:13" ht="41.5" customHeight="1" x14ac:dyDescent="0.3">
      <c r="M122" s="33"/>
    </row>
    <row r="123" spans="13:13" ht="41.5" customHeight="1" x14ac:dyDescent="0.3">
      <c r="M123" s="33"/>
    </row>
    <row r="124" spans="13:13" ht="41.5" customHeight="1" x14ac:dyDescent="0.3">
      <c r="M124" s="33"/>
    </row>
    <row r="125" spans="13:13" ht="41.5" customHeight="1" x14ac:dyDescent="0.3">
      <c r="M125" s="33"/>
    </row>
    <row r="126" spans="13:13" ht="41.5" customHeight="1" x14ac:dyDescent="0.3">
      <c r="M126" s="33"/>
    </row>
    <row r="127" spans="13:13" ht="41.5" customHeight="1" x14ac:dyDescent="0.3">
      <c r="M127" s="33"/>
    </row>
    <row r="128" spans="13:13" ht="41.5" customHeight="1" x14ac:dyDescent="0.3">
      <c r="M128" s="33"/>
    </row>
    <row r="129" spans="13:13" ht="41.5" customHeight="1" x14ac:dyDescent="0.3">
      <c r="M129" s="33"/>
    </row>
    <row r="130" spans="13:13" ht="41.5" customHeight="1" x14ac:dyDescent="0.3">
      <c r="M130" s="33"/>
    </row>
    <row r="131" spans="13:13" ht="41.5" customHeight="1" x14ac:dyDescent="0.3">
      <c r="M131" s="33"/>
    </row>
    <row r="132" spans="13:13" ht="41.5" customHeight="1" x14ac:dyDescent="0.3">
      <c r="M132" s="33"/>
    </row>
    <row r="133" spans="13:13" ht="41.5" customHeight="1" x14ac:dyDescent="0.3">
      <c r="M133" s="33"/>
    </row>
    <row r="134" spans="13:13" ht="41.5" customHeight="1" x14ac:dyDescent="0.3">
      <c r="M134" s="33"/>
    </row>
    <row r="135" spans="13:13" ht="41.5" customHeight="1" x14ac:dyDescent="0.3">
      <c r="M135" s="33"/>
    </row>
    <row r="136" spans="13:13" ht="41.5" customHeight="1" x14ac:dyDescent="0.3">
      <c r="M136" s="33"/>
    </row>
    <row r="137" spans="13:13" ht="41.5" customHeight="1" x14ac:dyDescent="0.3">
      <c r="M137" s="33"/>
    </row>
    <row r="138" spans="13:13" ht="41.5" customHeight="1" x14ac:dyDescent="0.3">
      <c r="M138" s="33"/>
    </row>
    <row r="139" spans="13:13" ht="41.5" customHeight="1" x14ac:dyDescent="0.3">
      <c r="M139" s="33"/>
    </row>
    <row r="140" spans="13:13" ht="41.5" customHeight="1" x14ac:dyDescent="0.3">
      <c r="M140" s="33"/>
    </row>
    <row r="141" spans="13:13" ht="41.5" customHeight="1" x14ac:dyDescent="0.3">
      <c r="M141" s="33"/>
    </row>
    <row r="142" spans="13:13" ht="41.5" customHeight="1" x14ac:dyDescent="0.3">
      <c r="M142" s="33"/>
    </row>
    <row r="143" spans="13:13" ht="41.5" customHeight="1" x14ac:dyDescent="0.3">
      <c r="M143" s="33"/>
    </row>
    <row r="144" spans="13:13" ht="41.5" customHeight="1" x14ac:dyDescent="0.3">
      <c r="M144" s="33"/>
    </row>
    <row r="145" spans="13:13" ht="41.5" customHeight="1" x14ac:dyDescent="0.3">
      <c r="M145" s="33"/>
    </row>
    <row r="146" spans="13:13" ht="41.5" customHeight="1" x14ac:dyDescent="0.3">
      <c r="M146" s="33"/>
    </row>
    <row r="147" spans="13:13" ht="41.5" customHeight="1" x14ac:dyDescent="0.3">
      <c r="M147" s="33"/>
    </row>
    <row r="148" spans="13:13" ht="41.5" customHeight="1" x14ac:dyDescent="0.3">
      <c r="M148" s="33"/>
    </row>
    <row r="149" spans="13:13" ht="41.5" customHeight="1" x14ac:dyDescent="0.3">
      <c r="M149" s="33"/>
    </row>
    <row r="150" spans="13:13" ht="41.5" customHeight="1" x14ac:dyDescent="0.3">
      <c r="M150" s="33"/>
    </row>
    <row r="151" spans="13:13" ht="41.5" customHeight="1" x14ac:dyDescent="0.3">
      <c r="M151" s="33"/>
    </row>
    <row r="152" spans="13:13" ht="41.5" customHeight="1" x14ac:dyDescent="0.3">
      <c r="M152" s="33"/>
    </row>
    <row r="153" spans="13:13" ht="41.5" customHeight="1" x14ac:dyDescent="0.3">
      <c r="M153" s="33"/>
    </row>
    <row r="154" spans="13:13" ht="41.5" customHeight="1" x14ac:dyDescent="0.3">
      <c r="M154" s="33"/>
    </row>
    <row r="155" spans="13:13" ht="41.5" customHeight="1" x14ac:dyDescent="0.3">
      <c r="M155" s="33"/>
    </row>
    <row r="156" spans="13:13" ht="41.5" customHeight="1" x14ac:dyDescent="0.3">
      <c r="M156" s="33"/>
    </row>
    <row r="157" spans="13:13" ht="41.5" customHeight="1" x14ac:dyDescent="0.3">
      <c r="M157" s="33"/>
    </row>
    <row r="158" spans="13:13" ht="41.5" customHeight="1" x14ac:dyDescent="0.3">
      <c r="M158" s="33"/>
    </row>
    <row r="159" spans="13:13" ht="41.5" customHeight="1" x14ac:dyDescent="0.3">
      <c r="M159" s="33"/>
    </row>
    <row r="160" spans="13:13" ht="41.5" customHeight="1" x14ac:dyDescent="0.3">
      <c r="M160" s="33"/>
    </row>
    <row r="161" spans="13:13" ht="41.5" customHeight="1" x14ac:dyDescent="0.3">
      <c r="M161" s="33"/>
    </row>
    <row r="162" spans="13:13" ht="41.5" customHeight="1" x14ac:dyDescent="0.3">
      <c r="M162" s="33"/>
    </row>
    <row r="163" spans="13:13" ht="41.5" customHeight="1" x14ac:dyDescent="0.3">
      <c r="M163" s="33"/>
    </row>
    <row r="164" spans="13:13" ht="41.5" customHeight="1" x14ac:dyDescent="0.3">
      <c r="M164" s="33"/>
    </row>
    <row r="165" spans="13:13" ht="41.5" customHeight="1" x14ac:dyDescent="0.3">
      <c r="M165" s="33"/>
    </row>
    <row r="166" spans="13:13" ht="41.5" customHeight="1" x14ac:dyDescent="0.3">
      <c r="M166" s="33"/>
    </row>
    <row r="167" spans="13:13" ht="41.5" customHeight="1" x14ac:dyDescent="0.3">
      <c r="M167" s="33"/>
    </row>
    <row r="168" spans="13:13" ht="41.5" customHeight="1" x14ac:dyDescent="0.3">
      <c r="M168" s="33"/>
    </row>
    <row r="169" spans="13:13" ht="41.5" customHeight="1" x14ac:dyDescent="0.3">
      <c r="M169" s="33"/>
    </row>
    <row r="170" spans="13:13" ht="41.5" customHeight="1" x14ac:dyDescent="0.3">
      <c r="M170" s="33"/>
    </row>
    <row r="171" spans="13:13" ht="41.5" customHeight="1" x14ac:dyDescent="0.3">
      <c r="M171" s="33"/>
    </row>
    <row r="172" spans="13:13" ht="41.5" customHeight="1" x14ac:dyDescent="0.3">
      <c r="M172" s="33"/>
    </row>
    <row r="173" spans="13:13" ht="41.5" customHeight="1" x14ac:dyDescent="0.3">
      <c r="M173" s="33"/>
    </row>
    <row r="174" spans="13:13" ht="41.5" customHeight="1" x14ac:dyDescent="0.3">
      <c r="M174" s="33"/>
    </row>
    <row r="175" spans="13:13" ht="41.5" customHeight="1" x14ac:dyDescent="0.3">
      <c r="M175" s="33"/>
    </row>
    <row r="176" spans="13:13" ht="41.5" customHeight="1" x14ac:dyDescent="0.3">
      <c r="M176" s="33"/>
    </row>
    <row r="177" spans="13:13" ht="41.5" customHeight="1" x14ac:dyDescent="0.3">
      <c r="M177" s="33"/>
    </row>
    <row r="178" spans="13:13" ht="41.5" customHeight="1" x14ac:dyDescent="0.3">
      <c r="M178" s="33"/>
    </row>
    <row r="179" spans="13:13" ht="41.5" customHeight="1" x14ac:dyDescent="0.3">
      <c r="M179" s="33"/>
    </row>
    <row r="180" spans="13:13" ht="41.5" customHeight="1" x14ac:dyDescent="0.3">
      <c r="M180" s="33"/>
    </row>
    <row r="181" spans="13:13" ht="41.5" customHeight="1" x14ac:dyDescent="0.3">
      <c r="M181" s="33"/>
    </row>
    <row r="182" spans="13:13" ht="41.5" customHeight="1" x14ac:dyDescent="0.3">
      <c r="M182" s="33"/>
    </row>
    <row r="183" spans="13:13" ht="41.5" customHeight="1" x14ac:dyDescent="0.3">
      <c r="M183" s="33"/>
    </row>
    <row r="184" spans="13:13" ht="41.5" customHeight="1" x14ac:dyDescent="0.3">
      <c r="M184" s="33"/>
    </row>
    <row r="185" spans="13:13" ht="41.5" customHeight="1" x14ac:dyDescent="0.3">
      <c r="M185" s="33"/>
    </row>
    <row r="186" spans="13:13" ht="41.5" customHeight="1" x14ac:dyDescent="0.3">
      <c r="M186" s="33"/>
    </row>
    <row r="187" spans="13:13" ht="41.5" customHeight="1" x14ac:dyDescent="0.3">
      <c r="M187" s="33"/>
    </row>
    <row r="188" spans="13:13" ht="41.5" customHeight="1" x14ac:dyDescent="0.3">
      <c r="M188" s="33"/>
    </row>
    <row r="189" spans="13:13" ht="41.5" customHeight="1" x14ac:dyDescent="0.3">
      <c r="M189" s="33"/>
    </row>
    <row r="190" spans="13:13" ht="41.5" customHeight="1" x14ac:dyDescent="0.3">
      <c r="M190" s="33"/>
    </row>
    <row r="191" spans="13:13" ht="41.5" customHeight="1" x14ac:dyDescent="0.3">
      <c r="M191" s="33"/>
    </row>
    <row r="192" spans="13:13" ht="41.5" customHeight="1" x14ac:dyDescent="0.3">
      <c r="M192" s="33"/>
    </row>
    <row r="193" spans="13:13" ht="41.5" customHeight="1" x14ac:dyDescent="0.3">
      <c r="M193" s="33"/>
    </row>
    <row r="194" spans="13:13" ht="41.5" customHeight="1" x14ac:dyDescent="0.3">
      <c r="M194" s="33"/>
    </row>
    <row r="195" spans="13:13" ht="41.5" customHeight="1" x14ac:dyDescent="0.3">
      <c r="M195" s="33"/>
    </row>
  </sheetData>
  <mergeCells count="25">
    <mergeCell ref="A40:B40"/>
    <mergeCell ref="A38:A39"/>
    <mergeCell ref="A8:B8"/>
    <mergeCell ref="A22:B22"/>
    <mergeCell ref="A33:B33"/>
    <mergeCell ref="A35:B35"/>
    <mergeCell ref="A37:B37"/>
    <mergeCell ref="A9:A19"/>
    <mergeCell ref="A23:A32"/>
    <mergeCell ref="A1:U1"/>
    <mergeCell ref="A2:U2"/>
    <mergeCell ref="A3:U3"/>
    <mergeCell ref="A4:U4"/>
    <mergeCell ref="A5:A7"/>
    <mergeCell ref="B5:B7"/>
    <mergeCell ref="C5:D6"/>
    <mergeCell ref="E5:F6"/>
    <mergeCell ref="G5:G7"/>
    <mergeCell ref="H5:H7"/>
    <mergeCell ref="I5:I7"/>
    <mergeCell ref="J5:U5"/>
    <mergeCell ref="J6:L6"/>
    <mergeCell ref="M6:O6"/>
    <mergeCell ref="P6:R6"/>
    <mergeCell ref="S6:U6"/>
  </mergeCells>
  <printOptions horizontalCentered="1" verticalCentered="1"/>
  <pageMargins left="0.17" right="0.17" top="0.43" bottom="0.75" header="0.3" footer="0.3"/>
  <pageSetup scale="2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Operational Target</vt:lpstr>
      <vt:lpstr>'Operational Target'!Print_Area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Beza.Dagne</dc:creator>
  <cp:lastModifiedBy>USER</cp:lastModifiedBy>
  <cp:lastPrinted>2023-07-04T00:04:13Z</cp:lastPrinted>
  <dcterms:created xsi:type="dcterms:W3CDTF">2023-04-27T17:54:03Z</dcterms:created>
  <dcterms:modified xsi:type="dcterms:W3CDTF">2026-07-08T20:16:35Z</dcterms:modified>
</cp:coreProperties>
</file>